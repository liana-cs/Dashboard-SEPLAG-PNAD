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lutembergsantana/Documents/PNAD Contínua/Trimestral/2021/"/>
    </mc:Choice>
  </mc:AlternateContent>
  <xr:revisionPtr revIDLastSave="0" documentId="13_ncr:1_{AAC82AF7-8C8C-4548-B626-1157FE1E0F77}" xr6:coauthVersionLast="47" xr6:coauthVersionMax="47" xr10:uidLastSave="{00000000-0000-0000-0000-000000000000}"/>
  <bookViews>
    <workbookView xWindow="0" yWindow="620" windowWidth="28800" windowHeight="15860" tabRatio="500" activeTab="5" xr2:uid="{00000000-000D-0000-FFFF-FFFF00000000}"/>
  </bookViews>
  <sheets>
    <sheet name="2021_1T" sheetId="1" r:id="rId1"/>
    <sheet name="2021_2T" sheetId="2" r:id="rId2"/>
    <sheet name="2021_3T" sheetId="3" r:id="rId3"/>
    <sheet name="2021_4T" sheetId="4" r:id="rId4"/>
    <sheet name="Dicionário" sheetId="5" r:id="rId5"/>
    <sheet name="Estatísticas - Agregada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3" i="6" l="1"/>
  <c r="K4" i="6"/>
  <c r="K5" i="6"/>
  <c r="K2" i="6"/>
  <c r="H5" i="6"/>
  <c r="H3" i="6"/>
  <c r="H4" i="6"/>
  <c r="H2" i="6"/>
  <c r="E2" i="6"/>
  <c r="D5" i="6"/>
  <c r="E5" i="6" s="1"/>
  <c r="F5" i="6"/>
  <c r="G5" i="6"/>
  <c r="I5" i="6"/>
  <c r="J5" i="6"/>
  <c r="D4" i="6"/>
  <c r="E4" i="6" s="1"/>
  <c r="F4" i="6"/>
  <c r="G4" i="6"/>
  <c r="I4" i="6"/>
  <c r="J4" i="6"/>
  <c r="C5" i="6"/>
  <c r="C4" i="6"/>
  <c r="D3" i="6"/>
  <c r="E3" i="6" s="1"/>
  <c r="F3" i="6"/>
  <c r="G3" i="6"/>
  <c r="I3" i="6"/>
  <c r="J3" i="6"/>
  <c r="C3" i="6"/>
  <c r="C185" i="4"/>
  <c r="B185" i="4"/>
  <c r="G185" i="4"/>
  <c r="D185" i="4"/>
  <c r="E185" i="4"/>
  <c r="F185" i="4"/>
  <c r="C179" i="3"/>
  <c r="D179" i="3"/>
  <c r="E179" i="3"/>
  <c r="F179" i="3"/>
  <c r="G179" i="3"/>
  <c r="B179" i="3"/>
  <c r="C165" i="2"/>
  <c r="D165" i="2"/>
  <c r="E165" i="2"/>
  <c r="F165" i="2"/>
  <c r="G165" i="2"/>
  <c r="B165" i="2"/>
  <c r="D2" i="6"/>
  <c r="F2" i="6"/>
  <c r="G2" i="6"/>
  <c r="I2" i="6"/>
  <c r="J2" i="6"/>
  <c r="C2" i="6"/>
  <c r="C171" i="1"/>
  <c r="D171" i="1"/>
  <c r="E171" i="1"/>
  <c r="F171" i="1"/>
  <c r="G171" i="1"/>
  <c r="B171" i="1"/>
</calcChain>
</file>

<file path=xl/sharedStrings.xml><?xml version="1.0" encoding="utf-8"?>
<sst xmlns="http://schemas.openxmlformats.org/spreadsheetml/2006/main" count="73" uniqueCount="34">
  <si>
    <t>CNAE</t>
  </si>
  <si>
    <t>n_ocup_pond</t>
  </si>
  <si>
    <t>renda_total_pond</t>
  </si>
  <si>
    <t>n_empregador_pond</t>
  </si>
  <si>
    <t>renda_empregador_pond</t>
  </si>
  <si>
    <t>n_conta_propria_pond</t>
  </si>
  <si>
    <t>renda_conta_propria_pond</t>
  </si>
  <si>
    <t>Variável</t>
  </si>
  <si>
    <t>Descrição</t>
  </si>
  <si>
    <t>Código da Classificação Nacional de Atividades Econômicas (CNAE 2.0), informado na variável V4013. Refere-se à atividade principal exercida pelo trabalhador. É um código numérico de 5 dígitos.</t>
  </si>
  <si>
    <t>Total ponderado de pessoas ocupadas em cada código de CNAE. É a soma do fator de expansão (V1028) de todos os indivíduos ocupados naquele setor.</t>
  </si>
  <si>
    <t>Soma ponderada da renda total do trabalho (principal, secundário e outros) dos ocupados em cada CNAE. Calculada como: renda_total * V1028, somando os resultados por CNAE.</t>
  </si>
  <si>
    <t>Total ponderado de empregadores com apenas 1 funcionário (V4012 == 5 &amp; V40161 == 1) em cada CNAE. Representa a quantidade estimada de microempregadores por setor.</t>
  </si>
  <si>
    <t>Total ponderado de trabalhadores por conta própria (V4012 == 6) em cada CNAE. Representa a quantidade estimada de empreendedores individuais (formais ou informais).</t>
  </si>
  <si>
    <t>Soma ponderada da renda do trabalho dos empregadores com 1 funcionário. Calculada com base nos rendimentos individuais multiplicados por V1028.</t>
  </si>
  <si>
    <t>Soma ponderada da renda do trabalho dos trabalhadores por conta própria, por CNAE.</t>
  </si>
  <si>
    <t>Destaque</t>
  </si>
  <si>
    <t>renda_total</t>
  </si>
  <si>
    <t>Soma da renda proveniente de três fontes principais de ocupação: trabalho principal, secundário e outros trabalhos. Cada uma dessas fontes inclui o valor efetivamente recebido e o valor habitual esperado. A composição é dada por:</t>
  </si>
  <si>
    <t>renda_total = r_princ + r_sec + r_outros</t>
  </si>
  <si>
    <t>Com:</t>
  </si>
  <si>
    <t>r_princ = V403412 + V403422</t>
  </si>
  <si>
    <t>r_sec = V405112 + V405122</t>
  </si>
  <si>
    <t>r_outros = V405912 + V405922</t>
  </si>
  <si>
    <t>Todos os valores são ajustados para que valores negativos e NA sejam tratados como zero.</t>
  </si>
  <si>
    <t>TOTAL</t>
  </si>
  <si>
    <t>Trimestre</t>
  </si>
  <si>
    <t>1 Página</t>
  </si>
  <si>
    <t>2 Página</t>
  </si>
  <si>
    <t>3 Página</t>
  </si>
  <si>
    <t>Renda Média_Total</t>
  </si>
  <si>
    <t>Renda Média_empregador</t>
  </si>
  <si>
    <t>Renda Média_conta_propria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</si>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</sst>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0"/>
      <name val="Arial"/>
      <family val="2"/>
      <charset val="1"/>
    </font>
    <font>
      <sz val="10"/>
      <name val="Arial"/>
      <family val="2"/>
    </font>
    <font>
      <b/>
      <sz val="10"/>
      <name val="Arial"/>
      <family val="2"/>
      <charset val="1"/>
    </font>
    <font>
      <b/>
      <sz val="10"/>
      <name val="Arial"/>
      <family val="2"/>
    </font>
    <font>
      <b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D428"/>
        <bgColor rgb="FFFFFF00"/>
      </patternFill>
    </fill>
    <fill>
      <patternFill patternType="solid">
        <fgColor rgb="FFFFF5CE"/>
        <bgColor rgb="FFFFFFFF"/>
      </patternFill>
    </fill>
    <fill>
      <patternFill patternType="solid">
        <fgColor rgb="FFFFE994"/>
        <bgColor rgb="FFFFF5CE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29">
    <xf numFmtId="0" fontId="0" fillId="0" borderId="0" xfId="0"/>
    <xf numFmtId="0" fontId="2" fillId="0" borderId="1" xfId="0" applyFont="1" applyBorder="1"/>
    <xf numFmtId="0" fontId="2" fillId="0" borderId="0" xfId="0" applyFont="1"/>
    <xf numFmtId="0" fontId="0" fillId="0" borderId="1" xfId="0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0" fontId="2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0" borderId="0" xfId="0" applyFont="1"/>
    <xf numFmtId="4" fontId="3" fillId="0" borderId="0" xfId="0" applyNumberFormat="1" applyFont="1"/>
    <xf numFmtId="3" fontId="3" fillId="0" borderId="0" xfId="0" applyNumberFormat="1" applyFont="1"/>
    <xf numFmtId="44" fontId="1" fillId="0" borderId="0" xfId="1"/>
    <xf numFmtId="3" fontId="0" fillId="0" borderId="1" xfId="0" applyNumberFormat="1" applyBorder="1"/>
    <xf numFmtId="44" fontId="1" fillId="0" borderId="1" xfId="1" applyBorder="1"/>
    <xf numFmtId="44" fontId="1" fillId="0" borderId="1" xfId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3" fillId="0" borderId="5" xfId="0" applyFont="1" applyBorder="1"/>
    <xf numFmtId="0" fontId="0" fillId="3" borderId="3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D428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'Estatísticas - Agregadas'!$C$1</c:f>
              <c:strCache>
                <c:ptCount val="1"/>
                <c:pt idx="0">
                  <c:v>n_ocup_pond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'Estatísticas - Agregadas'!$C$2:$C$5</c:f>
              <c:numCache>
                <c:formatCode>#,##0</c:formatCode>
                <c:ptCount val="4"/>
                <c:pt idx="0">
                  <c:v>3175076.3968629595</c:v>
                </c:pt>
                <c:pt idx="1">
                  <c:v>3173887.8244981305</c:v>
                </c:pt>
                <c:pt idx="2">
                  <c:v>3286021.8466850002</c:v>
                </c:pt>
                <c:pt idx="3">
                  <c:v>3401768.3741694102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D2-8E49-BA48-8EA94137D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4215616"/>
        <c:axId val="16747136"/>
      </c:barChart>
      <c:lineChart>
        <c:grouping val="standard"/>
        <c:varyColors val="0"/>
        <c:ser>
          <c:idx val="0"/>
          <c:order val="0"/>
          <c:tx>
            <c:strRef>
              <c:f>'Estatísticas - Agregadas'!$B$1</c:f>
              <c:strCache>
                <c:ptCount val="1"/>
                <c:pt idx="0">
                  <c:v>Trimestre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'Estatísticas - Agregadas'!$B$2:$B$5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D2-8E49-BA48-8EA94137D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215616"/>
        <c:axId val="16747136"/>
      </c:lineChart>
      <c:catAx>
        <c:axId val="34215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7136"/>
        <c:crosses val="autoZero"/>
        <c:auto val="1"/>
        <c:lblAlgn val="ctr"/>
        <c:lblOffset val="100"/>
        <c:noMultiLvlLbl val="0"/>
      </c:catAx>
      <c:valAx>
        <c:axId val="1674713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3421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'Estatísticas - Agregadas'!$D$1</c:f>
              <c:strCache>
                <c:ptCount val="1"/>
                <c:pt idx="0">
                  <c:v>renda_total_pond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'Estatísticas - Agregadas'!$D$2:$D$5</c:f>
              <c:numCache>
                <c:formatCode>_("R$"* #,##0.00_);_("R$"* \(#,##0.00\);_("R$"* "-"??_);_(@_)</c:formatCode>
                <c:ptCount val="4"/>
                <c:pt idx="0">
                  <c:v>5631273544.4924355</c:v>
                </c:pt>
                <c:pt idx="1">
                  <c:v>5578194280.2969704</c:v>
                </c:pt>
                <c:pt idx="2">
                  <c:v>5451251965.8304863</c:v>
                </c:pt>
                <c:pt idx="3">
                  <c:v>5695969641.5470982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1-B646-B28F-1755D193F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4215616"/>
        <c:axId val="16747136"/>
      </c:barChart>
      <c:lineChart>
        <c:grouping val="standard"/>
        <c:varyColors val="0"/>
        <c:ser>
          <c:idx val="0"/>
          <c:order val="0"/>
          <c:tx>
            <c:strRef>
              <c:f>'Estatísticas - Agregadas'!$B$1</c:f>
              <c:strCache>
                <c:ptCount val="1"/>
                <c:pt idx="0">
                  <c:v>Trimestre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'Estatísticas - Agregadas'!$B$2:$B$5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81-B646-B28F-1755D193F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215616"/>
        <c:axId val="16747136"/>
      </c:lineChart>
      <c:catAx>
        <c:axId val="34215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7136"/>
        <c:crosses val="autoZero"/>
        <c:auto val="1"/>
        <c:lblAlgn val="ctr"/>
        <c:lblOffset val="100"/>
        <c:noMultiLvlLbl val="0"/>
      </c:catAx>
      <c:valAx>
        <c:axId val="16747136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421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'Estatísticas - Agregadas'!$E$1</c:f>
              <c:strCache>
                <c:ptCount val="1"/>
                <c:pt idx="0">
                  <c:v>Renda Média_Total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'Estatísticas - Agregadas'!$E$2:$E$5</c:f>
              <c:numCache>
                <c:formatCode>_("R$"* #,##0.00_);_("R$"* \(#,##0.00\);_("R$"* "-"??_);_(@_)</c:formatCode>
                <c:ptCount val="4"/>
                <c:pt idx="0">
                  <c:v>1773.5867867797604</c:v>
                </c:pt>
                <c:pt idx="1">
                  <c:v>1757.5272311897222</c:v>
                </c:pt>
                <c:pt idx="2">
                  <c:v>1658.9214010642718</c:v>
                </c:pt>
                <c:pt idx="3">
                  <c:v>1674.4143089806489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7-FF45-A745-BE825846B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4215616"/>
        <c:axId val="16747136"/>
      </c:barChart>
      <c:lineChart>
        <c:grouping val="standard"/>
        <c:varyColors val="0"/>
        <c:ser>
          <c:idx val="0"/>
          <c:order val="0"/>
          <c:tx>
            <c:strRef>
              <c:f>'Estatísticas - Agregadas'!$B$1</c:f>
              <c:strCache>
                <c:ptCount val="1"/>
                <c:pt idx="0">
                  <c:v>Trimestre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'Estatísticas - Agregadas'!$B$2:$B$5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07-FF45-A745-BE825846B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215616"/>
        <c:axId val="16747136"/>
      </c:lineChart>
      <c:catAx>
        <c:axId val="34215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7136"/>
        <c:crosses val="autoZero"/>
        <c:auto val="1"/>
        <c:lblAlgn val="ctr"/>
        <c:lblOffset val="100"/>
        <c:noMultiLvlLbl val="0"/>
      </c:catAx>
      <c:valAx>
        <c:axId val="16747136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421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387350</xdr:colOff>
      <xdr:row>9</xdr:row>
      <xdr:rowOff>0</xdr:rowOff>
    </xdr:from>
    <xdr:to>
      <xdr:col>6</xdr:col>
      <xdr:colOff>1282700</xdr:colOff>
      <xdr:row>27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05264D-9820-1848-FF23-3B4417D27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152400</xdr:rowOff>
    </xdr:from>
    <xdr:to>
      <xdr:col>6</xdr:col>
      <xdr:colOff>1428750</xdr:colOff>
      <xdr:row>52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5F4E22F-B5B3-0A4B-B4F0-A19ED0B23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165100</xdr:colOff>
      <xdr:row>55</xdr:row>
      <xdr:rowOff>88900</xdr:rowOff>
    </xdr:from>
    <xdr:to>
      <xdr:col>6</xdr:col>
      <xdr:colOff>1593850</xdr:colOff>
      <xdr:row>76</xdr:row>
      <xdr:rowOff>139700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02B0C4-BF86-634A-A04F-92CA8CCC0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1"/>
  <sheetViews>
    <sheetView topLeftCell="A148" zoomScale="170" zoomScaleNormal="170" workbookViewId="0">
      <selection activeCell="A171" sqref="A171:G171"/>
    </sheetView>
  </sheetViews>
  <sheetFormatPr baseColWidth="10" defaultColWidth="11.5" defaultRowHeight="13" x14ac:dyDescent="0.15"/>
  <cols>
    <col min="1" max="1" width="6.5" customWidth="1"/>
    <col min="2" max="4" width="19" customWidth="1"/>
    <col min="5" max="5" width="21.6640625" customWidth="1"/>
    <col min="6" max="6" width="19.5" customWidth="1"/>
    <col min="7" max="7" width="23" customWidth="1"/>
  </cols>
  <sheetData>
    <row r="1" spans="1:7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s="3">
        <v>0</v>
      </c>
      <c r="B2" s="4">
        <v>881.98231059</v>
      </c>
      <c r="C2" s="4">
        <v>196001.882931</v>
      </c>
      <c r="D2" s="3">
        <v>0</v>
      </c>
      <c r="E2" s="3">
        <v>0</v>
      </c>
      <c r="F2" s="4">
        <v>881.98231059</v>
      </c>
      <c r="G2" s="4">
        <v>196001.882931</v>
      </c>
    </row>
    <row r="3" spans="1:7" x14ac:dyDescent="0.15">
      <c r="A3" s="3">
        <v>1102</v>
      </c>
      <c r="B3" s="4">
        <v>40149.271738900003</v>
      </c>
      <c r="C3" s="4">
        <v>14231567.9570673</v>
      </c>
      <c r="D3" s="3">
        <v>0</v>
      </c>
      <c r="E3" s="3">
        <v>0</v>
      </c>
      <c r="F3" s="4">
        <v>30656.19690961</v>
      </c>
      <c r="G3" s="4">
        <v>10266155.5068774</v>
      </c>
    </row>
    <row r="4" spans="1:7" x14ac:dyDescent="0.15">
      <c r="A4" s="3">
        <v>1105</v>
      </c>
      <c r="B4" s="4">
        <v>40742.897717829997</v>
      </c>
      <c r="C4" s="4">
        <v>94547789.787152305</v>
      </c>
      <c r="D4" s="3">
        <v>0</v>
      </c>
      <c r="E4" s="3">
        <v>0</v>
      </c>
      <c r="F4" s="4">
        <v>3440.4187944599998</v>
      </c>
      <c r="G4" s="4">
        <v>1290536.892739</v>
      </c>
    </row>
    <row r="5" spans="1:7" x14ac:dyDescent="0.15">
      <c r="A5" s="3">
        <v>1108</v>
      </c>
      <c r="B5" s="4">
        <v>33624.36859287</v>
      </c>
      <c r="C5" s="4">
        <v>10116379.414729301</v>
      </c>
      <c r="D5" s="3">
        <v>0</v>
      </c>
      <c r="E5" s="3">
        <v>0</v>
      </c>
      <c r="F5" s="4">
        <v>20974.141606699999</v>
      </c>
      <c r="G5" s="4">
        <v>6462756.3088443195</v>
      </c>
    </row>
    <row r="6" spans="1:7" x14ac:dyDescent="0.15">
      <c r="A6" s="3">
        <v>1109</v>
      </c>
      <c r="B6" s="4">
        <v>80999.752406519998</v>
      </c>
      <c r="C6" s="4">
        <v>27554819.638763499</v>
      </c>
      <c r="D6" s="4">
        <v>1721.38716729</v>
      </c>
      <c r="E6" s="4">
        <v>688554.86691600003</v>
      </c>
      <c r="F6" s="4">
        <v>58808.612252229999</v>
      </c>
      <c r="G6" s="4">
        <v>21755220.063905701</v>
      </c>
    </row>
    <row r="7" spans="1:7" x14ac:dyDescent="0.15">
      <c r="A7" s="3">
        <v>1110</v>
      </c>
      <c r="B7" s="4">
        <v>26115.570180989998</v>
      </c>
      <c r="C7" s="4">
        <v>12814747.5190478</v>
      </c>
      <c r="D7" s="3">
        <v>0</v>
      </c>
      <c r="E7" s="3">
        <v>0</v>
      </c>
      <c r="F7" s="4">
        <v>12016.0164267</v>
      </c>
      <c r="G7" s="4">
        <v>7980937.7004556004</v>
      </c>
    </row>
    <row r="8" spans="1:7" x14ac:dyDescent="0.15">
      <c r="A8" s="3">
        <v>1111</v>
      </c>
      <c r="B8" s="4">
        <v>5641.9928637499997</v>
      </c>
      <c r="C8" s="4">
        <v>6256541.1410791501</v>
      </c>
      <c r="D8" s="3">
        <v>0</v>
      </c>
      <c r="E8" s="3">
        <v>0</v>
      </c>
      <c r="F8" s="4">
        <v>3824.8695067399999</v>
      </c>
      <c r="G8" s="4">
        <v>4419177.3374971496</v>
      </c>
    </row>
    <row r="9" spans="1:7" x14ac:dyDescent="0.15">
      <c r="A9" s="3">
        <v>1115</v>
      </c>
      <c r="B9" s="4">
        <v>8740.6222584900006</v>
      </c>
      <c r="C9" s="4">
        <v>7068202.9922356997</v>
      </c>
      <c r="D9" s="3">
        <v>0</v>
      </c>
      <c r="E9" s="3">
        <v>0</v>
      </c>
      <c r="F9" s="4">
        <v>1569.7707998400001</v>
      </c>
      <c r="G9" s="4">
        <v>1319878.2914493</v>
      </c>
    </row>
    <row r="10" spans="1:7" x14ac:dyDescent="0.15">
      <c r="A10" s="3">
        <v>1116</v>
      </c>
      <c r="B10" s="4">
        <v>17879.77481898</v>
      </c>
      <c r="C10" s="4">
        <v>11748513.527086001</v>
      </c>
      <c r="D10" s="3">
        <v>0</v>
      </c>
      <c r="E10" s="3">
        <v>0</v>
      </c>
      <c r="F10" s="4">
        <v>10530.40926221</v>
      </c>
      <c r="G10" s="4">
        <v>6669910.8185080001</v>
      </c>
    </row>
    <row r="11" spans="1:7" x14ac:dyDescent="0.15">
      <c r="A11" s="3">
        <v>1117</v>
      </c>
      <c r="B11" s="4">
        <v>12642.70388318</v>
      </c>
      <c r="C11" s="4">
        <v>10968921.2810384</v>
      </c>
      <c r="D11" s="3">
        <v>0</v>
      </c>
      <c r="E11" s="3">
        <v>0</v>
      </c>
      <c r="F11" s="4">
        <v>2845.3621677900001</v>
      </c>
      <c r="G11" s="4">
        <v>2211938.3740254999</v>
      </c>
    </row>
    <row r="12" spans="1:7" x14ac:dyDescent="0.15">
      <c r="A12" s="3">
        <v>1119</v>
      </c>
      <c r="B12" s="4">
        <v>18818.946741840002</v>
      </c>
      <c r="C12" s="4">
        <v>6738329.1788195996</v>
      </c>
      <c r="D12" s="3">
        <v>0</v>
      </c>
      <c r="E12" s="3">
        <v>0</v>
      </c>
      <c r="F12" s="4">
        <v>14055.544087390001</v>
      </c>
      <c r="G12" s="4">
        <v>4449354.6754660001</v>
      </c>
    </row>
    <row r="13" spans="1:7" x14ac:dyDescent="0.15">
      <c r="A13" s="3">
        <v>1201</v>
      </c>
      <c r="B13" s="4">
        <v>27051.561250139999</v>
      </c>
      <c r="C13" s="4">
        <v>29283280.370366599</v>
      </c>
      <c r="D13" s="3">
        <v>0</v>
      </c>
      <c r="E13" s="3">
        <v>0</v>
      </c>
      <c r="F13" s="4">
        <v>13376.659317899999</v>
      </c>
      <c r="G13" s="4">
        <v>19437469.300602101</v>
      </c>
    </row>
    <row r="14" spans="1:7" x14ac:dyDescent="0.15">
      <c r="A14" s="3">
        <v>1202</v>
      </c>
      <c r="B14" s="4">
        <v>402.87844564</v>
      </c>
      <c r="C14" s="4">
        <v>241727.06738399999</v>
      </c>
      <c r="D14" s="4">
        <v>402.87844564</v>
      </c>
      <c r="E14" s="4">
        <v>241727.06738399999</v>
      </c>
      <c r="F14" s="3">
        <v>0</v>
      </c>
      <c r="G14" s="3">
        <v>0</v>
      </c>
    </row>
    <row r="15" spans="1:7" x14ac:dyDescent="0.15">
      <c r="A15" s="3">
        <v>1203</v>
      </c>
      <c r="B15" s="4">
        <v>6624.4168404100001</v>
      </c>
      <c r="C15" s="4">
        <v>993196.96735599998</v>
      </c>
      <c r="D15" s="3">
        <v>0</v>
      </c>
      <c r="E15" s="3">
        <v>0</v>
      </c>
      <c r="F15" s="4">
        <v>5019.5556620899997</v>
      </c>
      <c r="G15" s="4">
        <v>993196.96735599998</v>
      </c>
    </row>
    <row r="16" spans="1:7" x14ac:dyDescent="0.15">
      <c r="A16" s="3">
        <v>1204</v>
      </c>
      <c r="B16" s="4">
        <v>2054.7666510899999</v>
      </c>
      <c r="C16" s="4">
        <v>451588.55904800002</v>
      </c>
      <c r="D16" s="3">
        <v>0</v>
      </c>
      <c r="E16" s="3">
        <v>0</v>
      </c>
      <c r="F16" s="4">
        <v>1227.5033307199999</v>
      </c>
      <c r="G16" s="4">
        <v>330184.25418049999</v>
      </c>
    </row>
    <row r="17" spans="1:7" x14ac:dyDescent="0.15">
      <c r="A17" s="3">
        <v>1205</v>
      </c>
      <c r="B17" s="4">
        <v>9734.02553309</v>
      </c>
      <c r="C17" s="4">
        <v>8538502.7854399998</v>
      </c>
      <c r="D17" s="4">
        <v>1403.9240764599999</v>
      </c>
      <c r="E17" s="4">
        <v>982746.85352200002</v>
      </c>
      <c r="F17" s="4">
        <v>925.36787962999995</v>
      </c>
      <c r="G17" s="4">
        <v>774544.29200999998</v>
      </c>
    </row>
    <row r="18" spans="1:7" x14ac:dyDescent="0.15">
      <c r="A18" s="3">
        <v>1206</v>
      </c>
      <c r="B18" s="4">
        <v>411.27450549999998</v>
      </c>
      <c r="C18" s="3">
        <v>0</v>
      </c>
      <c r="D18" s="3">
        <v>0</v>
      </c>
      <c r="E18" s="3">
        <v>0</v>
      </c>
      <c r="F18" s="4">
        <v>205.63725274999999</v>
      </c>
      <c r="G18" s="3">
        <v>0</v>
      </c>
    </row>
    <row r="19" spans="1:7" x14ac:dyDescent="0.15">
      <c r="A19" s="3">
        <v>1209</v>
      </c>
      <c r="B19" s="4">
        <v>1129.41333753</v>
      </c>
      <c r="C19" s="4">
        <v>1242354.6712829999</v>
      </c>
      <c r="D19" s="3">
        <v>0</v>
      </c>
      <c r="E19" s="3">
        <v>0</v>
      </c>
      <c r="F19" s="4">
        <v>1129.41333753</v>
      </c>
      <c r="G19" s="4">
        <v>1242354.6712829999</v>
      </c>
    </row>
    <row r="20" spans="1:7" x14ac:dyDescent="0.15">
      <c r="A20" s="3">
        <v>1401</v>
      </c>
      <c r="B20" s="4">
        <v>1276.5880565499999</v>
      </c>
      <c r="C20" s="4">
        <v>1249486.0754269499</v>
      </c>
      <c r="D20" s="3">
        <v>0</v>
      </c>
      <c r="E20" s="3">
        <v>0</v>
      </c>
      <c r="F20" s="4">
        <v>931.49236811000003</v>
      </c>
      <c r="G20" s="4">
        <v>973409.52467495005</v>
      </c>
    </row>
    <row r="21" spans="1:7" x14ac:dyDescent="0.15">
      <c r="A21" s="3">
        <v>1402</v>
      </c>
      <c r="B21" s="4">
        <v>1666.1851605500001</v>
      </c>
      <c r="C21" s="4">
        <v>713932.25759299996</v>
      </c>
      <c r="D21" s="3">
        <v>0</v>
      </c>
      <c r="E21" s="3">
        <v>0</v>
      </c>
      <c r="F21" s="4">
        <v>1070.38354714</v>
      </c>
      <c r="G21" s="4">
        <v>535191.77356999996</v>
      </c>
    </row>
    <row r="22" spans="1:7" x14ac:dyDescent="0.15">
      <c r="A22" s="3">
        <v>1999</v>
      </c>
      <c r="B22" s="4">
        <v>217.99845457999999</v>
      </c>
      <c r="C22" s="4">
        <v>326997.68186999997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15">
      <c r="A23" s="3">
        <v>2000</v>
      </c>
      <c r="B23" s="4">
        <v>2754.26579657</v>
      </c>
      <c r="C23" s="4">
        <v>922791.87965100002</v>
      </c>
      <c r="D23" s="3">
        <v>0</v>
      </c>
      <c r="E23" s="3">
        <v>0</v>
      </c>
      <c r="F23" s="4">
        <v>155.88242536000001</v>
      </c>
      <c r="G23" s="4">
        <v>93529.455216000002</v>
      </c>
    </row>
    <row r="24" spans="1:7" x14ac:dyDescent="0.15">
      <c r="A24" s="3">
        <v>3001</v>
      </c>
      <c r="B24" s="4">
        <v>7821.3563806900002</v>
      </c>
      <c r="C24" s="4">
        <v>3240647.1639088001</v>
      </c>
      <c r="D24" s="4">
        <v>818.07714506000002</v>
      </c>
      <c r="E24" s="4">
        <v>572654.00154199998</v>
      </c>
      <c r="F24" s="4">
        <v>6028.2525635600005</v>
      </c>
      <c r="G24" s="4">
        <v>2309746.4290268002</v>
      </c>
    </row>
    <row r="25" spans="1:7" x14ac:dyDescent="0.15">
      <c r="A25" s="3">
        <v>3002</v>
      </c>
      <c r="B25" s="4">
        <v>2713.4250548999999</v>
      </c>
      <c r="C25" s="4">
        <v>1092026.9347915</v>
      </c>
      <c r="D25" s="3">
        <v>0</v>
      </c>
      <c r="E25" s="3">
        <v>0</v>
      </c>
      <c r="F25" s="4">
        <v>2520.3041885399998</v>
      </c>
      <c r="G25" s="4">
        <v>898906.0684315</v>
      </c>
    </row>
    <row r="26" spans="1:7" x14ac:dyDescent="0.15">
      <c r="A26" s="3">
        <v>6000</v>
      </c>
      <c r="B26" s="4">
        <v>546.99898499999995</v>
      </c>
      <c r="C26" s="4">
        <v>13127975.640000001</v>
      </c>
      <c r="D26" s="3">
        <v>0</v>
      </c>
      <c r="E26" s="3">
        <v>0</v>
      </c>
      <c r="F26" s="3">
        <v>0</v>
      </c>
      <c r="G26" s="3">
        <v>0</v>
      </c>
    </row>
    <row r="27" spans="1:7" x14ac:dyDescent="0.15">
      <c r="A27" s="3">
        <v>7002</v>
      </c>
      <c r="B27" s="4">
        <v>2407.3638180500002</v>
      </c>
      <c r="C27" s="4">
        <v>10133269.900219999</v>
      </c>
      <c r="D27" s="3">
        <v>0</v>
      </c>
      <c r="E27" s="3">
        <v>0</v>
      </c>
      <c r="F27" s="3">
        <v>0</v>
      </c>
      <c r="G27" s="3">
        <v>0</v>
      </c>
    </row>
    <row r="28" spans="1:7" x14ac:dyDescent="0.15">
      <c r="A28" s="3">
        <v>8001</v>
      </c>
      <c r="B28" s="4">
        <v>4707.6235686999999</v>
      </c>
      <c r="C28" s="4">
        <v>6432662.4179720003</v>
      </c>
      <c r="D28" s="3">
        <v>0</v>
      </c>
      <c r="E28" s="3">
        <v>0</v>
      </c>
      <c r="F28" s="3">
        <v>0</v>
      </c>
      <c r="G28" s="3">
        <v>0</v>
      </c>
    </row>
    <row r="29" spans="1:7" x14ac:dyDescent="0.15">
      <c r="A29" s="3">
        <v>8002</v>
      </c>
      <c r="B29" s="4">
        <v>1173.7846580200001</v>
      </c>
      <c r="C29" s="4">
        <v>469513.86320800002</v>
      </c>
      <c r="D29" s="3">
        <v>0</v>
      </c>
      <c r="E29" s="3">
        <v>0</v>
      </c>
      <c r="F29" s="4">
        <v>1173.7846580200001</v>
      </c>
      <c r="G29" s="4">
        <v>469513.86320800002</v>
      </c>
    </row>
    <row r="30" spans="1:7" x14ac:dyDescent="0.15">
      <c r="A30" s="3">
        <v>10010</v>
      </c>
      <c r="B30" s="4">
        <v>11206.512804350001</v>
      </c>
      <c r="C30" s="4">
        <v>27199237.056890201</v>
      </c>
      <c r="D30" s="3">
        <v>0</v>
      </c>
      <c r="E30" s="3">
        <v>0</v>
      </c>
      <c r="F30" s="3">
        <v>0</v>
      </c>
      <c r="G30" s="3">
        <v>0</v>
      </c>
    </row>
    <row r="31" spans="1:7" x14ac:dyDescent="0.15">
      <c r="A31" s="3">
        <v>10021</v>
      </c>
      <c r="B31" s="4">
        <v>1510.0913366899999</v>
      </c>
      <c r="C31" s="4">
        <v>1701908.381572</v>
      </c>
      <c r="D31" s="3">
        <v>0</v>
      </c>
      <c r="E31" s="3">
        <v>0</v>
      </c>
      <c r="F31" s="4">
        <v>408.07911213</v>
      </c>
      <c r="G31" s="4">
        <v>489694.93455599999</v>
      </c>
    </row>
    <row r="32" spans="1:7" x14ac:dyDescent="0.15">
      <c r="A32" s="3">
        <v>10030</v>
      </c>
      <c r="B32" s="4">
        <v>11353.21187753</v>
      </c>
      <c r="C32" s="4">
        <v>6617671.8689519502</v>
      </c>
      <c r="D32" s="3">
        <v>0</v>
      </c>
      <c r="E32" s="3">
        <v>0</v>
      </c>
      <c r="F32" s="4">
        <v>8745.7502398100005</v>
      </c>
      <c r="G32" s="4">
        <v>4896004.7394992998</v>
      </c>
    </row>
    <row r="33" spans="1:7" x14ac:dyDescent="0.15">
      <c r="A33" s="3">
        <v>10091</v>
      </c>
      <c r="B33" s="4">
        <v>12627.165819219999</v>
      </c>
      <c r="C33" s="4">
        <v>11935119.8780539</v>
      </c>
      <c r="D33" s="3">
        <v>0</v>
      </c>
      <c r="E33" s="3">
        <v>0</v>
      </c>
      <c r="F33" s="3">
        <v>0</v>
      </c>
      <c r="G33" s="3">
        <v>0</v>
      </c>
    </row>
    <row r="34" spans="1:7" x14ac:dyDescent="0.15">
      <c r="A34" s="3">
        <v>10092</v>
      </c>
      <c r="B34" s="4">
        <v>12238.255372379999</v>
      </c>
      <c r="C34" s="4">
        <v>22124517.248235799</v>
      </c>
      <c r="D34" s="3">
        <v>0</v>
      </c>
      <c r="E34" s="3">
        <v>0</v>
      </c>
      <c r="F34" s="3">
        <v>0</v>
      </c>
      <c r="G34" s="3">
        <v>0</v>
      </c>
    </row>
    <row r="35" spans="1:7" x14ac:dyDescent="0.15">
      <c r="A35" s="3">
        <v>10099</v>
      </c>
      <c r="B35" s="4">
        <v>14373.53894558</v>
      </c>
      <c r="C35" s="4">
        <v>23363227.523702402</v>
      </c>
      <c r="D35" s="3">
        <v>0</v>
      </c>
      <c r="E35" s="3">
        <v>0</v>
      </c>
      <c r="F35" s="3">
        <v>0</v>
      </c>
      <c r="G35" s="3">
        <v>0</v>
      </c>
    </row>
    <row r="36" spans="1:7" x14ac:dyDescent="0.15">
      <c r="A36" s="3">
        <v>11000</v>
      </c>
      <c r="B36" s="4">
        <v>6129.27294987</v>
      </c>
      <c r="C36" s="4">
        <v>12706002.889554501</v>
      </c>
      <c r="D36" s="3">
        <v>0</v>
      </c>
      <c r="E36" s="3">
        <v>0</v>
      </c>
      <c r="F36" s="3">
        <v>0</v>
      </c>
      <c r="G36" s="3">
        <v>0</v>
      </c>
    </row>
    <row r="37" spans="1:7" x14ac:dyDescent="0.15">
      <c r="A37" s="3">
        <v>13001</v>
      </c>
      <c r="B37" s="4">
        <v>6784.9025672400003</v>
      </c>
      <c r="C37" s="4">
        <v>6375096.3882477498</v>
      </c>
      <c r="D37" s="3">
        <v>0</v>
      </c>
      <c r="E37" s="3">
        <v>0</v>
      </c>
      <c r="F37" s="4">
        <v>1025.9660169399999</v>
      </c>
      <c r="G37" s="4">
        <v>820772.81355199998</v>
      </c>
    </row>
    <row r="38" spans="1:7" x14ac:dyDescent="0.15">
      <c r="A38" s="3">
        <v>13002</v>
      </c>
      <c r="B38" s="4">
        <v>10385.742468549999</v>
      </c>
      <c r="C38" s="4">
        <v>4535526.0841955999</v>
      </c>
      <c r="D38" s="4">
        <v>468.46853908999998</v>
      </c>
      <c r="E38" s="4">
        <v>702702.80863500002</v>
      </c>
      <c r="F38" s="4">
        <v>4904.3025616100003</v>
      </c>
      <c r="G38" s="4">
        <v>2029882.0396546</v>
      </c>
    </row>
    <row r="39" spans="1:7" x14ac:dyDescent="0.15">
      <c r="A39" s="3">
        <v>14001</v>
      </c>
      <c r="B39" s="4">
        <v>99537.675251420005</v>
      </c>
      <c r="C39" s="4">
        <v>82936913.460968107</v>
      </c>
      <c r="D39" s="4">
        <v>3901.0958102499999</v>
      </c>
      <c r="E39" s="4">
        <v>4890276.5734980004</v>
      </c>
      <c r="F39" s="4">
        <v>35360.509279500002</v>
      </c>
      <c r="G39" s="4">
        <v>25603928.399470299</v>
      </c>
    </row>
    <row r="40" spans="1:7" x14ac:dyDescent="0.15">
      <c r="A40" s="3">
        <v>14002</v>
      </c>
      <c r="B40" s="4">
        <v>26213.06057292</v>
      </c>
      <c r="C40" s="4">
        <v>16220900.703756601</v>
      </c>
      <c r="D40" s="4">
        <v>1459.74527102</v>
      </c>
      <c r="E40" s="4">
        <v>2919490.5420400002</v>
      </c>
      <c r="F40" s="4">
        <v>19591.56675478</v>
      </c>
      <c r="G40" s="4">
        <v>9024546.1426775791</v>
      </c>
    </row>
    <row r="41" spans="1:7" x14ac:dyDescent="0.15">
      <c r="A41" s="3">
        <v>15012</v>
      </c>
      <c r="B41" s="4">
        <v>880.59345359999998</v>
      </c>
      <c r="C41" s="4">
        <v>672001.59716939996</v>
      </c>
      <c r="D41" s="3">
        <v>0</v>
      </c>
      <c r="E41" s="3">
        <v>0</v>
      </c>
      <c r="F41" s="4">
        <v>624.69802902000004</v>
      </c>
      <c r="G41" s="4">
        <v>652809.44032589998</v>
      </c>
    </row>
    <row r="42" spans="1:7" x14ac:dyDescent="0.15">
      <c r="A42" s="3">
        <v>15020</v>
      </c>
      <c r="B42" s="4">
        <v>1625.0015129599999</v>
      </c>
      <c r="C42" s="4">
        <v>1212146.9143882501</v>
      </c>
      <c r="D42" s="3">
        <v>0</v>
      </c>
      <c r="E42" s="3">
        <v>0</v>
      </c>
      <c r="F42" s="4">
        <v>1625.0015129599999</v>
      </c>
      <c r="G42" s="4">
        <v>1212146.9143882501</v>
      </c>
    </row>
    <row r="43" spans="1:7" x14ac:dyDescent="0.15">
      <c r="A43" s="3">
        <v>16002</v>
      </c>
      <c r="B43" s="4">
        <v>5547.6447071299999</v>
      </c>
      <c r="C43" s="4">
        <v>4514141.3200680995</v>
      </c>
      <c r="D43" s="3">
        <v>0</v>
      </c>
      <c r="E43" s="3">
        <v>0</v>
      </c>
      <c r="F43" s="4">
        <v>2927.06918885</v>
      </c>
      <c r="G43" s="4">
        <v>1479616.3415101999</v>
      </c>
    </row>
    <row r="44" spans="1:7" x14ac:dyDescent="0.15">
      <c r="A44" s="3">
        <v>17001</v>
      </c>
      <c r="B44" s="4">
        <v>861.18455408</v>
      </c>
      <c r="C44" s="4">
        <v>2066842.929792</v>
      </c>
      <c r="D44" s="3">
        <v>0</v>
      </c>
      <c r="E44" s="3">
        <v>0</v>
      </c>
      <c r="F44" s="3">
        <v>0</v>
      </c>
      <c r="G44" s="3">
        <v>0</v>
      </c>
    </row>
    <row r="45" spans="1:7" x14ac:dyDescent="0.15">
      <c r="A45" s="3">
        <v>17002</v>
      </c>
      <c r="B45" s="4">
        <v>6783.65038112</v>
      </c>
      <c r="C45" s="4">
        <v>15027392.312501401</v>
      </c>
      <c r="D45" s="3">
        <v>0</v>
      </c>
      <c r="E45" s="3">
        <v>0</v>
      </c>
      <c r="F45" s="4">
        <v>528.10939401999997</v>
      </c>
      <c r="G45" s="4">
        <v>211243.75760800001</v>
      </c>
    </row>
    <row r="46" spans="1:7" x14ac:dyDescent="0.15">
      <c r="A46" s="3">
        <v>18000</v>
      </c>
      <c r="B46" s="4">
        <v>9895.1575538300003</v>
      </c>
      <c r="C46" s="4">
        <v>11280742.985451899</v>
      </c>
      <c r="D46" s="3">
        <v>0</v>
      </c>
      <c r="E46" s="3">
        <v>0</v>
      </c>
      <c r="F46" s="4">
        <v>1837.00627646</v>
      </c>
      <c r="G46" s="4">
        <v>1743776.0072319999</v>
      </c>
    </row>
    <row r="47" spans="1:7" x14ac:dyDescent="0.15">
      <c r="A47" s="3">
        <v>19020</v>
      </c>
      <c r="B47" s="4">
        <v>1551.4688519599999</v>
      </c>
      <c r="C47" s="4">
        <v>23074952.731614999</v>
      </c>
      <c r="D47" s="3">
        <v>0</v>
      </c>
      <c r="E47" s="3">
        <v>0</v>
      </c>
      <c r="F47" s="3">
        <v>0</v>
      </c>
      <c r="G47" s="3">
        <v>0</v>
      </c>
    </row>
    <row r="48" spans="1:7" x14ac:dyDescent="0.15">
      <c r="A48" s="3">
        <v>20010</v>
      </c>
      <c r="B48" s="4">
        <v>387.89048316999998</v>
      </c>
      <c r="C48" s="4">
        <v>426679.531487</v>
      </c>
      <c r="D48" s="3">
        <v>0</v>
      </c>
      <c r="E48" s="3">
        <v>0</v>
      </c>
      <c r="F48" s="3">
        <v>0</v>
      </c>
      <c r="G48" s="3">
        <v>0</v>
      </c>
    </row>
    <row r="49" spans="1:7" x14ac:dyDescent="0.15">
      <c r="A49" s="3">
        <v>20020</v>
      </c>
      <c r="B49" s="4">
        <v>6250.7308127200004</v>
      </c>
      <c r="C49" s="4">
        <v>9577795.0309100002</v>
      </c>
      <c r="D49" s="3">
        <v>0</v>
      </c>
      <c r="E49" s="3">
        <v>0</v>
      </c>
      <c r="F49" s="3">
        <v>0</v>
      </c>
      <c r="G49" s="3">
        <v>0</v>
      </c>
    </row>
    <row r="50" spans="1:7" x14ac:dyDescent="0.15">
      <c r="A50" s="3">
        <v>21000</v>
      </c>
      <c r="B50" s="4">
        <v>2191.14388874</v>
      </c>
      <c r="C50" s="4">
        <v>2567259.1661341498</v>
      </c>
      <c r="D50" s="3">
        <v>0</v>
      </c>
      <c r="E50" s="3">
        <v>0</v>
      </c>
      <c r="F50" s="3">
        <v>0</v>
      </c>
      <c r="G50" s="3">
        <v>0</v>
      </c>
    </row>
    <row r="51" spans="1:7" x14ac:dyDescent="0.15">
      <c r="A51" s="3">
        <v>22020</v>
      </c>
      <c r="B51" s="4">
        <v>9276.0506977500008</v>
      </c>
      <c r="C51" s="4">
        <v>15893127.2437142</v>
      </c>
      <c r="D51" s="3">
        <v>0</v>
      </c>
      <c r="E51" s="3">
        <v>0</v>
      </c>
      <c r="F51" s="3">
        <v>0</v>
      </c>
      <c r="G51" s="3">
        <v>0</v>
      </c>
    </row>
    <row r="52" spans="1:7" x14ac:dyDescent="0.15">
      <c r="A52" s="3">
        <v>23010</v>
      </c>
      <c r="B52" s="4">
        <v>644.38654234000001</v>
      </c>
      <c r="C52" s="4">
        <v>1353211.7389140001</v>
      </c>
      <c r="D52" s="3">
        <v>0</v>
      </c>
      <c r="E52" s="3">
        <v>0</v>
      </c>
      <c r="F52" s="3">
        <v>0</v>
      </c>
      <c r="G52" s="3">
        <v>0</v>
      </c>
    </row>
    <row r="53" spans="1:7" x14ac:dyDescent="0.15">
      <c r="A53" s="3">
        <v>23091</v>
      </c>
      <c r="B53" s="4">
        <v>12481.787596259999</v>
      </c>
      <c r="C53" s="4">
        <v>14294242.2724558</v>
      </c>
      <c r="D53" s="3">
        <v>0</v>
      </c>
      <c r="E53" s="3">
        <v>0</v>
      </c>
      <c r="F53" s="3">
        <v>0</v>
      </c>
      <c r="G53" s="3">
        <v>0</v>
      </c>
    </row>
    <row r="54" spans="1:7" x14ac:dyDescent="0.15">
      <c r="A54" s="3">
        <v>23099</v>
      </c>
      <c r="B54" s="4">
        <v>11507.394813639999</v>
      </c>
      <c r="C54" s="4">
        <v>17498074.089656498</v>
      </c>
      <c r="D54" s="3">
        <v>0</v>
      </c>
      <c r="E54" s="3">
        <v>0</v>
      </c>
      <c r="F54" s="4">
        <v>219.04066752</v>
      </c>
      <c r="G54" s="4">
        <v>438081.33503999998</v>
      </c>
    </row>
    <row r="55" spans="1:7" x14ac:dyDescent="0.15">
      <c r="A55" s="3">
        <v>24001</v>
      </c>
      <c r="B55" s="4">
        <v>1297.94920389</v>
      </c>
      <c r="C55" s="4">
        <v>5451386.6563379997</v>
      </c>
      <c r="D55" s="3">
        <v>0</v>
      </c>
      <c r="E55" s="3">
        <v>0</v>
      </c>
      <c r="F55" s="3">
        <v>0</v>
      </c>
      <c r="G55" s="3">
        <v>0</v>
      </c>
    </row>
    <row r="56" spans="1:7" x14ac:dyDescent="0.15">
      <c r="A56" s="3">
        <v>24002</v>
      </c>
      <c r="B56" s="4">
        <v>2676.4901997799998</v>
      </c>
      <c r="C56" s="4">
        <v>6465986.1536670001</v>
      </c>
      <c r="D56" s="3">
        <v>0</v>
      </c>
      <c r="E56" s="3">
        <v>0</v>
      </c>
      <c r="F56" s="3">
        <v>0</v>
      </c>
      <c r="G56" s="3">
        <v>0</v>
      </c>
    </row>
    <row r="57" spans="1:7" x14ac:dyDescent="0.15">
      <c r="A57" s="3">
        <v>25001</v>
      </c>
      <c r="B57" s="4">
        <v>16819.659730020001</v>
      </c>
      <c r="C57" s="4">
        <v>26478729.678004202</v>
      </c>
      <c r="D57" s="3">
        <v>0</v>
      </c>
      <c r="E57" s="3">
        <v>0</v>
      </c>
      <c r="F57" s="4">
        <v>6904.6528749600002</v>
      </c>
      <c r="G57" s="4">
        <v>8881839.1394410003</v>
      </c>
    </row>
    <row r="58" spans="1:7" x14ac:dyDescent="0.15">
      <c r="A58" s="3">
        <v>25002</v>
      </c>
      <c r="B58" s="4">
        <v>2797.4884026</v>
      </c>
      <c r="C58" s="4">
        <v>3036915.8366570999</v>
      </c>
      <c r="D58" s="3">
        <v>0</v>
      </c>
      <c r="E58" s="3">
        <v>0</v>
      </c>
      <c r="F58" s="4">
        <v>1413.05106886</v>
      </c>
      <c r="G58" s="4">
        <v>1792485.7199530001</v>
      </c>
    </row>
    <row r="59" spans="1:7" x14ac:dyDescent="0.15">
      <c r="A59" s="3">
        <v>26041</v>
      </c>
      <c r="B59" s="4">
        <v>849.30471217000002</v>
      </c>
      <c r="C59" s="4">
        <v>594513.29851899995</v>
      </c>
      <c r="D59" s="3">
        <v>0</v>
      </c>
      <c r="E59" s="3">
        <v>0</v>
      </c>
      <c r="F59" s="3">
        <v>0</v>
      </c>
      <c r="G59" s="3">
        <v>0</v>
      </c>
    </row>
    <row r="60" spans="1:7" x14ac:dyDescent="0.15">
      <c r="A60" s="3">
        <v>27090</v>
      </c>
      <c r="B60" s="4">
        <v>8624.66679673</v>
      </c>
      <c r="C60" s="4">
        <v>17967135.3619221</v>
      </c>
      <c r="D60" s="3">
        <v>0</v>
      </c>
      <c r="E60" s="3">
        <v>0</v>
      </c>
      <c r="F60" s="3">
        <v>0</v>
      </c>
      <c r="G60" s="3">
        <v>0</v>
      </c>
    </row>
    <row r="61" spans="1:7" x14ac:dyDescent="0.15">
      <c r="A61" s="3">
        <v>28000</v>
      </c>
      <c r="B61" s="4">
        <v>6067.5779558599997</v>
      </c>
      <c r="C61" s="4">
        <v>8143348.92580905</v>
      </c>
      <c r="D61" s="3">
        <v>0</v>
      </c>
      <c r="E61" s="3">
        <v>0</v>
      </c>
      <c r="F61" s="3">
        <v>0</v>
      </c>
      <c r="G61" s="3">
        <v>0</v>
      </c>
    </row>
    <row r="62" spans="1:7" x14ac:dyDescent="0.15">
      <c r="A62" s="3">
        <v>29001</v>
      </c>
      <c r="B62" s="4">
        <v>7453.6975337699996</v>
      </c>
      <c r="C62" s="4">
        <v>15608260.7872524</v>
      </c>
      <c r="D62" s="3">
        <v>0</v>
      </c>
      <c r="E62" s="3">
        <v>0</v>
      </c>
      <c r="F62" s="3">
        <v>0</v>
      </c>
      <c r="G62" s="3">
        <v>0</v>
      </c>
    </row>
    <row r="63" spans="1:7" x14ac:dyDescent="0.15">
      <c r="A63" s="3">
        <v>29002</v>
      </c>
      <c r="B63" s="4">
        <v>1702.0964664200001</v>
      </c>
      <c r="C63" s="4">
        <v>2328741.5735089998</v>
      </c>
      <c r="D63" s="3">
        <v>0</v>
      </c>
      <c r="E63" s="3">
        <v>0</v>
      </c>
      <c r="F63" s="3">
        <v>0</v>
      </c>
      <c r="G63" s="3">
        <v>0</v>
      </c>
    </row>
    <row r="64" spans="1:7" x14ac:dyDescent="0.15">
      <c r="A64" s="3">
        <v>30010</v>
      </c>
      <c r="B64" s="4">
        <v>379.92973295000002</v>
      </c>
      <c r="C64" s="4">
        <v>417922.70624500001</v>
      </c>
      <c r="D64" s="3">
        <v>0</v>
      </c>
      <c r="E64" s="3">
        <v>0</v>
      </c>
      <c r="F64" s="3">
        <v>0</v>
      </c>
      <c r="G64" s="3">
        <v>0</v>
      </c>
    </row>
    <row r="65" spans="1:7" x14ac:dyDescent="0.15">
      <c r="A65" s="3">
        <v>31000</v>
      </c>
      <c r="B65" s="4">
        <v>11704.48450065</v>
      </c>
      <c r="C65" s="4">
        <v>15599130.693670399</v>
      </c>
      <c r="D65" s="3">
        <v>0</v>
      </c>
      <c r="E65" s="3">
        <v>0</v>
      </c>
      <c r="F65" s="4">
        <v>4146.0677925999998</v>
      </c>
      <c r="G65" s="4">
        <v>4907264.7385400003</v>
      </c>
    </row>
    <row r="66" spans="1:7" x14ac:dyDescent="0.15">
      <c r="A66" s="3">
        <v>32009</v>
      </c>
      <c r="B66" s="4">
        <v>4831.4135500100001</v>
      </c>
      <c r="C66" s="4">
        <v>5817647.8621789999</v>
      </c>
      <c r="D66" s="3">
        <v>0</v>
      </c>
      <c r="E66" s="3">
        <v>0</v>
      </c>
      <c r="F66" s="4">
        <v>2061.1732720499999</v>
      </c>
      <c r="G66" s="4">
        <v>2732723.7777959998</v>
      </c>
    </row>
    <row r="67" spans="1:7" x14ac:dyDescent="0.15">
      <c r="A67" s="3">
        <v>33001</v>
      </c>
      <c r="B67" s="4">
        <v>3302.4883574300002</v>
      </c>
      <c r="C67" s="4">
        <v>3241208.900872</v>
      </c>
      <c r="D67" s="3">
        <v>0</v>
      </c>
      <c r="E67" s="3">
        <v>0</v>
      </c>
      <c r="F67" s="4">
        <v>1587.14060752</v>
      </c>
      <c r="G67" s="4">
        <v>821176.98061900004</v>
      </c>
    </row>
    <row r="68" spans="1:7" x14ac:dyDescent="0.15">
      <c r="A68" s="3">
        <v>33002</v>
      </c>
      <c r="B68" s="4">
        <v>465.21136607</v>
      </c>
      <c r="C68" s="4">
        <v>697817.04910499998</v>
      </c>
      <c r="D68" s="3">
        <v>0</v>
      </c>
      <c r="E68" s="3">
        <v>0</v>
      </c>
      <c r="F68" s="4">
        <v>465.21136607</v>
      </c>
      <c r="G68" s="4">
        <v>697817.04910499998</v>
      </c>
    </row>
    <row r="69" spans="1:7" x14ac:dyDescent="0.15">
      <c r="A69" s="3">
        <v>35010</v>
      </c>
      <c r="B69" s="4">
        <v>8719.5651531000003</v>
      </c>
      <c r="C69" s="4">
        <v>13739435.260480501</v>
      </c>
      <c r="D69" s="3">
        <v>0</v>
      </c>
      <c r="E69" s="3">
        <v>0</v>
      </c>
      <c r="F69" s="3">
        <v>0</v>
      </c>
      <c r="G69" s="3">
        <v>0</v>
      </c>
    </row>
    <row r="70" spans="1:7" x14ac:dyDescent="0.15">
      <c r="A70" s="3">
        <v>36000</v>
      </c>
      <c r="B70" s="4">
        <v>5117.0602721699997</v>
      </c>
      <c r="C70" s="4">
        <v>30327496.345856</v>
      </c>
      <c r="D70" s="3">
        <v>0</v>
      </c>
      <c r="E70" s="3">
        <v>0</v>
      </c>
      <c r="F70" s="4">
        <v>309.87755423999999</v>
      </c>
      <c r="G70" s="4">
        <v>371853.06508799997</v>
      </c>
    </row>
    <row r="71" spans="1:7" x14ac:dyDescent="0.15">
      <c r="A71" s="3">
        <v>38000</v>
      </c>
      <c r="B71" s="4">
        <v>3238.35851645</v>
      </c>
      <c r="C71" s="4">
        <v>4096674.1904835599</v>
      </c>
      <c r="D71" s="3">
        <v>0</v>
      </c>
      <c r="E71" s="3">
        <v>0</v>
      </c>
      <c r="F71" s="4">
        <v>144.39313297999999</v>
      </c>
      <c r="G71" s="4">
        <v>216589.69946999999</v>
      </c>
    </row>
    <row r="72" spans="1:7" x14ac:dyDescent="0.15">
      <c r="A72" s="3">
        <v>41000</v>
      </c>
      <c r="B72" s="4">
        <v>156572.31868045</v>
      </c>
      <c r="C72" s="4">
        <v>155200946.10682699</v>
      </c>
      <c r="D72" s="4">
        <v>206.13245984</v>
      </c>
      <c r="E72" s="4">
        <v>329811.93574400002</v>
      </c>
      <c r="F72" s="4">
        <v>91298.73025511</v>
      </c>
      <c r="G72" s="4">
        <v>77563578.113200307</v>
      </c>
    </row>
    <row r="73" spans="1:7" x14ac:dyDescent="0.15">
      <c r="A73" s="3">
        <v>42000</v>
      </c>
      <c r="B73" s="4">
        <v>13722.93593731</v>
      </c>
      <c r="C73" s="4">
        <v>37017052.616629697</v>
      </c>
      <c r="D73" s="3">
        <v>0</v>
      </c>
      <c r="E73" s="3">
        <v>0</v>
      </c>
      <c r="F73" s="4">
        <v>1287.6233092099999</v>
      </c>
      <c r="G73" s="4">
        <v>6086106.96172</v>
      </c>
    </row>
    <row r="74" spans="1:7" x14ac:dyDescent="0.15">
      <c r="A74" s="3">
        <v>43000</v>
      </c>
      <c r="B74" s="4">
        <v>51256.49849523</v>
      </c>
      <c r="C74" s="4">
        <v>79110597.724347994</v>
      </c>
      <c r="D74" s="4">
        <v>552.62507206999999</v>
      </c>
      <c r="E74" s="4">
        <v>1381562.6801750001</v>
      </c>
      <c r="F74" s="4">
        <v>26131.34321082</v>
      </c>
      <c r="G74" s="4">
        <v>26784749.561986901</v>
      </c>
    </row>
    <row r="75" spans="1:7" x14ac:dyDescent="0.15">
      <c r="A75" s="3">
        <v>45010</v>
      </c>
      <c r="B75" s="4">
        <v>6573.3398678699996</v>
      </c>
      <c r="C75" s="4">
        <v>16195106.3629422</v>
      </c>
      <c r="D75" s="3">
        <v>0</v>
      </c>
      <c r="E75" s="3">
        <v>0</v>
      </c>
      <c r="F75" s="4">
        <v>480.77060296000002</v>
      </c>
      <c r="G75" s="4">
        <v>1442311.8088799999</v>
      </c>
    </row>
    <row r="76" spans="1:7" x14ac:dyDescent="0.15">
      <c r="A76" s="3">
        <v>45020</v>
      </c>
      <c r="B76" s="4">
        <v>68042.842117709995</v>
      </c>
      <c r="C76" s="4">
        <v>83104251.905916706</v>
      </c>
      <c r="D76" s="4">
        <v>2137.7376586599999</v>
      </c>
      <c r="E76" s="4">
        <v>8678100.6088050008</v>
      </c>
      <c r="F76" s="4">
        <v>26573.561359589999</v>
      </c>
      <c r="G76" s="4">
        <v>28922723.954283498</v>
      </c>
    </row>
    <row r="77" spans="1:7" x14ac:dyDescent="0.15">
      <c r="A77" s="3">
        <v>45030</v>
      </c>
      <c r="B77" s="4">
        <v>6817.4797158800002</v>
      </c>
      <c r="C77" s="4">
        <v>16390451.188293399</v>
      </c>
      <c r="D77" s="3">
        <v>0</v>
      </c>
      <c r="E77" s="3">
        <v>0</v>
      </c>
      <c r="F77" s="3">
        <v>0</v>
      </c>
      <c r="G77" s="3">
        <v>0</v>
      </c>
    </row>
    <row r="78" spans="1:7" x14ac:dyDescent="0.15">
      <c r="A78" s="3">
        <v>45040</v>
      </c>
      <c r="B78" s="4">
        <v>10974.37364301</v>
      </c>
      <c r="C78" s="4">
        <v>9499003.8566005491</v>
      </c>
      <c r="D78" s="3">
        <v>0</v>
      </c>
      <c r="E78" s="3">
        <v>0</v>
      </c>
      <c r="F78" s="4">
        <v>2715.6575755399999</v>
      </c>
      <c r="G78" s="4">
        <v>4043125.144105</v>
      </c>
    </row>
    <row r="79" spans="1:7" x14ac:dyDescent="0.15">
      <c r="A79" s="3">
        <v>48010</v>
      </c>
      <c r="B79" s="4">
        <v>3427.7783181999998</v>
      </c>
      <c r="C79" s="4">
        <v>11151538.8431655</v>
      </c>
      <c r="D79" s="3">
        <v>0</v>
      </c>
      <c r="E79" s="3">
        <v>0</v>
      </c>
      <c r="F79" s="4">
        <v>285.67225008000003</v>
      </c>
      <c r="G79" s="4">
        <v>514210.05014399998</v>
      </c>
    </row>
    <row r="80" spans="1:7" x14ac:dyDescent="0.15">
      <c r="A80" s="3">
        <v>48020</v>
      </c>
      <c r="B80" s="4">
        <v>4032.0924614</v>
      </c>
      <c r="C80" s="4">
        <v>3454298.6822000002</v>
      </c>
      <c r="D80" s="3">
        <v>0</v>
      </c>
      <c r="E80" s="3">
        <v>0</v>
      </c>
      <c r="F80" s="4">
        <v>2195.8762028900001</v>
      </c>
      <c r="G80" s="4">
        <v>1905179.065501</v>
      </c>
    </row>
    <row r="81" spans="1:7" x14ac:dyDescent="0.15">
      <c r="A81" s="3">
        <v>48030</v>
      </c>
      <c r="B81" s="4">
        <v>156858.07884366999</v>
      </c>
      <c r="C81" s="4">
        <v>249275082.65299499</v>
      </c>
      <c r="D81" s="4">
        <v>6123.5351359099996</v>
      </c>
      <c r="E81" s="4">
        <v>68439397.922101498</v>
      </c>
      <c r="F81" s="4">
        <v>63610.141123829999</v>
      </c>
      <c r="G81" s="4">
        <v>67997330.716985598</v>
      </c>
    </row>
    <row r="82" spans="1:7" x14ac:dyDescent="0.15">
      <c r="A82" s="3">
        <v>48041</v>
      </c>
      <c r="B82" s="4">
        <v>6247.0178843399999</v>
      </c>
      <c r="C82" s="4">
        <v>12949202.303306701</v>
      </c>
      <c r="D82" s="3">
        <v>0</v>
      </c>
      <c r="E82" s="3">
        <v>0</v>
      </c>
      <c r="F82" s="4">
        <v>1250.42730669</v>
      </c>
      <c r="G82" s="4">
        <v>4629994.7151285</v>
      </c>
    </row>
    <row r="83" spans="1:7" x14ac:dyDescent="0.15">
      <c r="A83" s="3">
        <v>48042</v>
      </c>
      <c r="B83" s="4">
        <v>63670.763241059998</v>
      </c>
      <c r="C83" s="4">
        <v>80327405.620305896</v>
      </c>
      <c r="D83" s="4">
        <v>2193.3448850099999</v>
      </c>
      <c r="E83" s="4">
        <v>2683694.6314814002</v>
      </c>
      <c r="F83" s="4">
        <v>31114.328060849999</v>
      </c>
      <c r="G83" s="4">
        <v>38348205.5160506</v>
      </c>
    </row>
    <row r="84" spans="1:7" x14ac:dyDescent="0.15">
      <c r="A84" s="3">
        <v>48050</v>
      </c>
      <c r="B84" s="4">
        <v>29251.491981160001</v>
      </c>
      <c r="C84" s="4">
        <v>50697176.741655402</v>
      </c>
      <c r="D84" s="4">
        <v>307.36402261000001</v>
      </c>
      <c r="E84" s="4">
        <v>321195.40362745</v>
      </c>
      <c r="F84" s="4">
        <v>1757.0517562099999</v>
      </c>
      <c r="G84" s="4">
        <v>2456549.189522</v>
      </c>
    </row>
    <row r="85" spans="1:7" x14ac:dyDescent="0.15">
      <c r="A85" s="3">
        <v>48060</v>
      </c>
      <c r="B85" s="4">
        <v>12972.47101107</v>
      </c>
      <c r="C85" s="4">
        <v>18220602.140262801</v>
      </c>
      <c r="D85" s="3">
        <v>0</v>
      </c>
      <c r="E85" s="3">
        <v>0</v>
      </c>
      <c r="F85" s="3">
        <v>0</v>
      </c>
      <c r="G85" s="3">
        <v>0</v>
      </c>
    </row>
    <row r="86" spans="1:7" x14ac:dyDescent="0.15">
      <c r="A86" s="3">
        <v>48071</v>
      </c>
      <c r="B86" s="4">
        <v>65342.000140169999</v>
      </c>
      <c r="C86" s="4">
        <v>101404398.261805</v>
      </c>
      <c r="D86" s="3">
        <v>0</v>
      </c>
      <c r="E86" s="3">
        <v>0</v>
      </c>
      <c r="F86" s="4">
        <v>39682.764542129997</v>
      </c>
      <c r="G86" s="4">
        <v>28678417.724191099</v>
      </c>
    </row>
    <row r="87" spans="1:7" x14ac:dyDescent="0.15">
      <c r="A87" s="3">
        <v>48072</v>
      </c>
      <c r="B87" s="4">
        <v>3778.6524091000001</v>
      </c>
      <c r="C87" s="4">
        <v>4063189.9803380002</v>
      </c>
      <c r="D87" s="3">
        <v>0</v>
      </c>
      <c r="E87" s="3">
        <v>0</v>
      </c>
      <c r="F87" s="4">
        <v>1751.86087737</v>
      </c>
      <c r="G87" s="4">
        <v>1249999.9392560001</v>
      </c>
    </row>
    <row r="88" spans="1:7" x14ac:dyDescent="0.15">
      <c r="A88" s="3">
        <v>48073</v>
      </c>
      <c r="B88" s="4">
        <v>24918.980875220001</v>
      </c>
      <c r="C88" s="4">
        <v>40354564.134249903</v>
      </c>
      <c r="D88" s="3">
        <v>0</v>
      </c>
      <c r="E88" s="3">
        <v>0</v>
      </c>
      <c r="F88" s="4">
        <v>4832.7711007099997</v>
      </c>
      <c r="G88" s="4">
        <v>12409945.2035382</v>
      </c>
    </row>
    <row r="89" spans="1:7" x14ac:dyDescent="0.15">
      <c r="A89" s="3">
        <v>48074</v>
      </c>
      <c r="B89" s="4">
        <v>5015.7736997900001</v>
      </c>
      <c r="C89" s="4">
        <v>8685767.8509055004</v>
      </c>
      <c r="D89" s="4">
        <v>598.43577101999995</v>
      </c>
      <c r="E89" s="4">
        <v>1196871.54204</v>
      </c>
      <c r="F89" s="4">
        <v>870.47533487999999</v>
      </c>
      <c r="G89" s="4">
        <v>1305713.00232</v>
      </c>
    </row>
    <row r="90" spans="1:7" x14ac:dyDescent="0.15">
      <c r="A90" s="3">
        <v>48075</v>
      </c>
      <c r="B90" s="4">
        <v>5062.0193987700004</v>
      </c>
      <c r="C90" s="4">
        <v>19886804.138446599</v>
      </c>
      <c r="D90" s="3">
        <v>0</v>
      </c>
      <c r="E90" s="3">
        <v>0</v>
      </c>
      <c r="F90" s="3">
        <v>0</v>
      </c>
      <c r="G90" s="3">
        <v>0</v>
      </c>
    </row>
    <row r="91" spans="1:7" x14ac:dyDescent="0.15">
      <c r="A91" s="3">
        <v>48076</v>
      </c>
      <c r="B91" s="4">
        <v>14305.82618047</v>
      </c>
      <c r="C91" s="4">
        <v>18522923.105498001</v>
      </c>
      <c r="D91" s="3">
        <v>0</v>
      </c>
      <c r="E91" s="3">
        <v>0</v>
      </c>
      <c r="F91" s="4">
        <v>4780.6376166500004</v>
      </c>
      <c r="G91" s="4">
        <v>6905514.7005030001</v>
      </c>
    </row>
    <row r="92" spans="1:7" x14ac:dyDescent="0.15">
      <c r="A92" s="3">
        <v>48078</v>
      </c>
      <c r="B92" s="4">
        <v>6572.7234573400001</v>
      </c>
      <c r="C92" s="4">
        <v>5032334.4223649995</v>
      </c>
      <c r="D92" s="3">
        <v>0</v>
      </c>
      <c r="E92" s="3">
        <v>0</v>
      </c>
      <c r="F92" s="4">
        <v>3445.48310752</v>
      </c>
      <c r="G92" s="4">
        <v>1534334.2628005</v>
      </c>
    </row>
    <row r="93" spans="1:7" x14ac:dyDescent="0.15">
      <c r="A93" s="3">
        <v>48079</v>
      </c>
      <c r="B93" s="4">
        <v>36417.5398413</v>
      </c>
      <c r="C93" s="4">
        <v>53976164.757287502</v>
      </c>
      <c r="D93" s="4">
        <v>3253.2001649499998</v>
      </c>
      <c r="E93" s="4">
        <v>7556715.5385849997</v>
      </c>
      <c r="F93" s="4">
        <v>12876.577119920001</v>
      </c>
      <c r="G93" s="4">
        <v>11400747.508591499</v>
      </c>
    </row>
    <row r="94" spans="1:7" x14ac:dyDescent="0.15">
      <c r="A94" s="3">
        <v>48080</v>
      </c>
      <c r="B94" s="4">
        <v>67240.556999320004</v>
      </c>
      <c r="C94" s="4">
        <v>107666856.489153</v>
      </c>
      <c r="D94" s="4">
        <v>824.22479877000001</v>
      </c>
      <c r="E94" s="4">
        <v>4121123.9938500002</v>
      </c>
      <c r="F94" s="4">
        <v>114.81289102</v>
      </c>
      <c r="G94" s="4">
        <v>137775.469224</v>
      </c>
    </row>
    <row r="95" spans="1:7" x14ac:dyDescent="0.15">
      <c r="A95" s="3">
        <v>48090</v>
      </c>
      <c r="B95" s="4">
        <v>6503.3509834300003</v>
      </c>
      <c r="C95" s="4">
        <v>79037267.839682996</v>
      </c>
      <c r="D95" s="3">
        <v>0</v>
      </c>
      <c r="E95" s="3">
        <v>0</v>
      </c>
      <c r="F95" s="3">
        <v>0</v>
      </c>
      <c r="G95" s="3">
        <v>0</v>
      </c>
    </row>
    <row r="96" spans="1:7" x14ac:dyDescent="0.15">
      <c r="A96" s="3">
        <v>48100</v>
      </c>
      <c r="B96" s="4">
        <v>43312.374464</v>
      </c>
      <c r="C96" s="4">
        <v>36948230.448503897</v>
      </c>
      <c r="D96" s="4">
        <v>268.51696220999997</v>
      </c>
      <c r="E96" s="4">
        <v>13425.848110499999</v>
      </c>
      <c r="F96" s="4">
        <v>36514.196247959997</v>
      </c>
      <c r="G96" s="4">
        <v>31519098.639437001</v>
      </c>
    </row>
    <row r="97" spans="1:7" x14ac:dyDescent="0.15">
      <c r="A97" s="3">
        <v>49010</v>
      </c>
      <c r="B97" s="4">
        <v>1054.2425423300001</v>
      </c>
      <c r="C97" s="4">
        <v>5985039.9746230002</v>
      </c>
      <c r="D97" s="3">
        <v>0</v>
      </c>
      <c r="E97" s="3">
        <v>0</v>
      </c>
      <c r="F97" s="3">
        <v>0</v>
      </c>
      <c r="G97" s="3">
        <v>0</v>
      </c>
    </row>
    <row r="98" spans="1:7" x14ac:dyDescent="0.15">
      <c r="A98" s="3">
        <v>49030</v>
      </c>
      <c r="B98" s="4">
        <v>97883.069565700003</v>
      </c>
      <c r="C98" s="4">
        <v>157249935.92906499</v>
      </c>
      <c r="D98" s="3">
        <v>0</v>
      </c>
      <c r="E98" s="3">
        <v>0</v>
      </c>
      <c r="F98" s="4">
        <v>80329.867551770003</v>
      </c>
      <c r="G98" s="4">
        <v>130444332.48554</v>
      </c>
    </row>
    <row r="99" spans="1:7" x14ac:dyDescent="0.15">
      <c r="A99" s="3">
        <v>49040</v>
      </c>
      <c r="B99" s="4">
        <v>52635.279677710001</v>
      </c>
      <c r="C99" s="4">
        <v>101229971.865808</v>
      </c>
      <c r="D99" s="4">
        <v>1726.0544649999999</v>
      </c>
      <c r="E99" s="4">
        <v>3452108.93</v>
      </c>
      <c r="F99" s="4">
        <v>14733.209523130001</v>
      </c>
      <c r="G99" s="4">
        <v>34923509.231791399</v>
      </c>
    </row>
    <row r="100" spans="1:7" x14ac:dyDescent="0.15">
      <c r="A100" s="3">
        <v>51000</v>
      </c>
      <c r="B100" s="4">
        <v>881.95521217999999</v>
      </c>
      <c r="C100" s="4">
        <v>7055641.6974400003</v>
      </c>
      <c r="D100" s="3">
        <v>0</v>
      </c>
      <c r="E100" s="3">
        <v>0</v>
      </c>
      <c r="F100" s="3">
        <v>0</v>
      </c>
      <c r="G100" s="3">
        <v>0</v>
      </c>
    </row>
    <row r="101" spans="1:7" x14ac:dyDescent="0.15">
      <c r="A101" s="3">
        <v>52010</v>
      </c>
      <c r="B101" s="4">
        <v>1036.50509762</v>
      </c>
      <c r="C101" s="4">
        <v>460332.894737</v>
      </c>
      <c r="D101" s="3">
        <v>0</v>
      </c>
      <c r="E101" s="3">
        <v>0</v>
      </c>
      <c r="F101" s="3">
        <v>0</v>
      </c>
      <c r="G101" s="3">
        <v>0</v>
      </c>
    </row>
    <row r="102" spans="1:7" x14ac:dyDescent="0.15">
      <c r="A102" s="3">
        <v>52020</v>
      </c>
      <c r="B102" s="4">
        <v>3690.2889581899999</v>
      </c>
      <c r="C102" s="4">
        <v>3925998.7323190002</v>
      </c>
      <c r="D102" s="3">
        <v>0</v>
      </c>
      <c r="E102" s="3">
        <v>0</v>
      </c>
      <c r="F102" s="4">
        <v>405.08631163000001</v>
      </c>
      <c r="G102" s="4">
        <v>202543.15581500001</v>
      </c>
    </row>
    <row r="103" spans="1:7" x14ac:dyDescent="0.15">
      <c r="A103" s="3">
        <v>53001</v>
      </c>
      <c r="B103" s="4">
        <v>3475.5743781299998</v>
      </c>
      <c r="C103" s="4">
        <v>8746590.9916600008</v>
      </c>
      <c r="D103" s="3">
        <v>0</v>
      </c>
      <c r="E103" s="3">
        <v>0</v>
      </c>
      <c r="F103" s="3">
        <v>0</v>
      </c>
      <c r="G103" s="3">
        <v>0</v>
      </c>
    </row>
    <row r="104" spans="1:7" x14ac:dyDescent="0.15">
      <c r="A104" s="3">
        <v>53002</v>
      </c>
      <c r="B104" s="4">
        <v>26773.599186989999</v>
      </c>
      <c r="C104" s="4">
        <v>23680261.671099398</v>
      </c>
      <c r="D104" s="3">
        <v>0</v>
      </c>
      <c r="E104" s="3">
        <v>0</v>
      </c>
      <c r="F104" s="4">
        <v>25543.317748140002</v>
      </c>
      <c r="G104" s="4">
        <v>22798243.788144398</v>
      </c>
    </row>
    <row r="105" spans="1:7" x14ac:dyDescent="0.15">
      <c r="A105" s="3">
        <v>55000</v>
      </c>
      <c r="B105" s="4">
        <v>13221.824495119999</v>
      </c>
      <c r="C105" s="4">
        <v>16762827.2885706</v>
      </c>
      <c r="D105" s="3">
        <v>0</v>
      </c>
      <c r="E105" s="3">
        <v>0</v>
      </c>
      <c r="F105" s="3">
        <v>0</v>
      </c>
      <c r="G105" s="3">
        <v>0</v>
      </c>
    </row>
    <row r="106" spans="1:7" x14ac:dyDescent="0.15">
      <c r="A106" s="3">
        <v>56011</v>
      </c>
      <c r="B106" s="4">
        <v>112447.59532832001</v>
      </c>
      <c r="C106" s="4">
        <v>104088691.214669</v>
      </c>
      <c r="D106" s="4">
        <v>2728.4003241</v>
      </c>
      <c r="E106" s="4">
        <v>2674100.3695109999</v>
      </c>
      <c r="F106" s="4">
        <v>29731.66320789</v>
      </c>
      <c r="G106" s="4">
        <v>29686848.118038502</v>
      </c>
    </row>
    <row r="107" spans="1:7" x14ac:dyDescent="0.15">
      <c r="A107" s="3">
        <v>56012</v>
      </c>
      <c r="B107" s="4">
        <v>34155.594539270001</v>
      </c>
      <c r="C107" s="4">
        <v>29018445.549332399</v>
      </c>
      <c r="D107" s="3">
        <v>0</v>
      </c>
      <c r="E107" s="3">
        <v>0</v>
      </c>
      <c r="F107" s="4">
        <v>29273.01788824</v>
      </c>
      <c r="G107" s="4">
        <v>23437228.7843404</v>
      </c>
    </row>
    <row r="108" spans="1:7" x14ac:dyDescent="0.15">
      <c r="A108" s="3">
        <v>56020</v>
      </c>
      <c r="B108" s="4">
        <v>24973.415807189998</v>
      </c>
      <c r="C108" s="4">
        <v>15566330.477347801</v>
      </c>
      <c r="D108" s="3">
        <v>0</v>
      </c>
      <c r="E108" s="3">
        <v>0</v>
      </c>
      <c r="F108" s="4">
        <v>24020.954618650001</v>
      </c>
      <c r="G108" s="4">
        <v>15566330.477347801</v>
      </c>
    </row>
    <row r="109" spans="1:7" x14ac:dyDescent="0.15">
      <c r="A109" s="3">
        <v>60001</v>
      </c>
      <c r="B109" s="4">
        <v>1133.30662824</v>
      </c>
      <c r="C109" s="4">
        <v>317325.85590720002</v>
      </c>
      <c r="D109" s="3">
        <v>0</v>
      </c>
      <c r="E109" s="3">
        <v>0</v>
      </c>
      <c r="F109" s="3">
        <v>0</v>
      </c>
      <c r="G109" s="3">
        <v>0</v>
      </c>
    </row>
    <row r="110" spans="1:7" x14ac:dyDescent="0.15">
      <c r="A110" s="3">
        <v>61000</v>
      </c>
      <c r="B110" s="4">
        <v>12494.055353039999</v>
      </c>
      <c r="C110" s="4">
        <v>22515331.812967598</v>
      </c>
      <c r="D110" s="4">
        <v>2702.8162110500002</v>
      </c>
      <c r="E110" s="4">
        <v>6133294.0117640002</v>
      </c>
      <c r="F110" s="4">
        <v>508.59611415000001</v>
      </c>
      <c r="G110" s="4">
        <v>1062965.8785735001</v>
      </c>
    </row>
    <row r="111" spans="1:7" x14ac:dyDescent="0.15">
      <c r="A111" s="3">
        <v>62000</v>
      </c>
      <c r="B111" s="4">
        <v>18784.69805024</v>
      </c>
      <c r="C111" s="4">
        <v>80831950.512914106</v>
      </c>
      <c r="D111" s="3">
        <v>0</v>
      </c>
      <c r="E111" s="3">
        <v>0</v>
      </c>
      <c r="F111" s="4">
        <v>5408.4110637599997</v>
      </c>
      <c r="G111" s="4">
        <v>13183841.533244001</v>
      </c>
    </row>
    <row r="112" spans="1:7" x14ac:dyDescent="0.15">
      <c r="A112" s="3">
        <v>63000</v>
      </c>
      <c r="B112" s="4">
        <v>983.96258383999998</v>
      </c>
      <c r="C112" s="4">
        <v>3247076.5266720001</v>
      </c>
      <c r="D112" s="3">
        <v>0</v>
      </c>
      <c r="E112" s="3">
        <v>0</v>
      </c>
      <c r="F112" s="3">
        <v>0</v>
      </c>
      <c r="G112" s="3">
        <v>0</v>
      </c>
    </row>
    <row r="113" spans="1:7" x14ac:dyDescent="0.15">
      <c r="A113" s="3">
        <v>64000</v>
      </c>
      <c r="B113" s="4">
        <v>30788.471976519999</v>
      </c>
      <c r="C113" s="4">
        <v>97430682.784041598</v>
      </c>
      <c r="D113" s="3">
        <v>0</v>
      </c>
      <c r="E113" s="3">
        <v>0</v>
      </c>
      <c r="F113" s="3">
        <v>0</v>
      </c>
      <c r="G113" s="3">
        <v>0</v>
      </c>
    </row>
    <row r="114" spans="1:7" x14ac:dyDescent="0.15">
      <c r="A114" s="3">
        <v>65000</v>
      </c>
      <c r="B114" s="4">
        <v>1058.0636187800001</v>
      </c>
      <c r="C114" s="4">
        <v>5532618.4966000002</v>
      </c>
      <c r="D114" s="3">
        <v>0</v>
      </c>
      <c r="E114" s="3">
        <v>0</v>
      </c>
      <c r="F114" s="3">
        <v>0</v>
      </c>
      <c r="G114" s="3">
        <v>0</v>
      </c>
    </row>
    <row r="115" spans="1:7" x14ac:dyDescent="0.15">
      <c r="A115" s="3">
        <v>66001</v>
      </c>
      <c r="B115" s="4">
        <v>478.68920426</v>
      </c>
      <c r="C115" s="4">
        <v>9573784.0852000006</v>
      </c>
      <c r="D115" s="3">
        <v>0</v>
      </c>
      <c r="E115" s="3">
        <v>0</v>
      </c>
      <c r="F115" s="3">
        <v>0</v>
      </c>
      <c r="G115" s="3">
        <v>0</v>
      </c>
    </row>
    <row r="116" spans="1:7" x14ac:dyDescent="0.15">
      <c r="A116" s="3">
        <v>66002</v>
      </c>
      <c r="B116" s="4">
        <v>6179.5658137700002</v>
      </c>
      <c r="C116" s="4">
        <v>12446875.3555205</v>
      </c>
      <c r="D116" s="3">
        <v>0</v>
      </c>
      <c r="E116" s="3">
        <v>0</v>
      </c>
      <c r="F116" s="4">
        <v>1811.7674231399999</v>
      </c>
      <c r="G116" s="4">
        <v>2272535.5324650002</v>
      </c>
    </row>
    <row r="117" spans="1:7" x14ac:dyDescent="0.15">
      <c r="A117" s="3">
        <v>68000</v>
      </c>
      <c r="B117" s="4">
        <v>20765.185591040001</v>
      </c>
      <c r="C117" s="4">
        <v>49053456.1329358</v>
      </c>
      <c r="D117" s="3">
        <v>0</v>
      </c>
      <c r="E117" s="3">
        <v>0</v>
      </c>
      <c r="F117" s="4">
        <v>7434.6478993500004</v>
      </c>
      <c r="G117" s="4">
        <v>34119685.473411001</v>
      </c>
    </row>
    <row r="118" spans="1:7" x14ac:dyDescent="0.15">
      <c r="A118" s="3">
        <v>69000</v>
      </c>
      <c r="B118" s="4">
        <v>32180.115938700001</v>
      </c>
      <c r="C118" s="4">
        <v>108653814.895625</v>
      </c>
      <c r="D118" s="3">
        <v>0</v>
      </c>
      <c r="E118" s="3">
        <v>0</v>
      </c>
      <c r="F118" s="4">
        <v>15484.0481327</v>
      </c>
      <c r="G118" s="4">
        <v>69016257.431814</v>
      </c>
    </row>
    <row r="119" spans="1:7" x14ac:dyDescent="0.15">
      <c r="A119" s="3">
        <v>70000</v>
      </c>
      <c r="B119" s="4">
        <v>1732.51445173</v>
      </c>
      <c r="C119" s="4">
        <v>1905765.8969030001</v>
      </c>
      <c r="D119" s="3">
        <v>0</v>
      </c>
      <c r="E119" s="3">
        <v>0</v>
      </c>
      <c r="F119" s="3">
        <v>0</v>
      </c>
      <c r="G119" s="3">
        <v>0</v>
      </c>
    </row>
    <row r="120" spans="1:7" x14ac:dyDescent="0.15">
      <c r="A120" s="3">
        <v>71000</v>
      </c>
      <c r="B120" s="4">
        <v>8526.3683059800005</v>
      </c>
      <c r="C120" s="4">
        <v>31733695.905216001</v>
      </c>
      <c r="D120" s="3">
        <v>0</v>
      </c>
      <c r="E120" s="3">
        <v>0</v>
      </c>
      <c r="F120" s="4">
        <v>2909.9900636000002</v>
      </c>
      <c r="G120" s="4">
        <v>7021946.2930100001</v>
      </c>
    </row>
    <row r="121" spans="1:7" x14ac:dyDescent="0.15">
      <c r="A121" s="3">
        <v>73010</v>
      </c>
      <c r="B121" s="4">
        <v>3257.5083809100001</v>
      </c>
      <c r="C121" s="4">
        <v>7606634.6107320003</v>
      </c>
      <c r="D121" s="3">
        <v>0</v>
      </c>
      <c r="E121" s="3">
        <v>0</v>
      </c>
      <c r="F121" s="4">
        <v>400.51649404</v>
      </c>
      <c r="G121" s="4">
        <v>1201549.4821200001</v>
      </c>
    </row>
    <row r="122" spans="1:7" x14ac:dyDescent="0.15">
      <c r="A122" s="3">
        <v>73020</v>
      </c>
      <c r="B122" s="4">
        <v>381.57712024</v>
      </c>
      <c r="C122" s="4">
        <v>400655.97625200002</v>
      </c>
      <c r="D122" s="3">
        <v>0</v>
      </c>
      <c r="E122" s="3">
        <v>0</v>
      </c>
      <c r="F122" s="3">
        <v>0</v>
      </c>
      <c r="G122" s="3">
        <v>0</v>
      </c>
    </row>
    <row r="123" spans="1:7" x14ac:dyDescent="0.15">
      <c r="A123" s="3">
        <v>74000</v>
      </c>
      <c r="B123" s="4">
        <v>7348.1436861900002</v>
      </c>
      <c r="C123" s="4">
        <v>10757900.7083182</v>
      </c>
      <c r="D123" s="3">
        <v>0</v>
      </c>
      <c r="E123" s="3">
        <v>0</v>
      </c>
      <c r="F123" s="4">
        <v>7348.1436861900002</v>
      </c>
      <c r="G123" s="4">
        <v>10757900.7083182</v>
      </c>
    </row>
    <row r="124" spans="1:7" x14ac:dyDescent="0.15">
      <c r="A124" s="3">
        <v>75000</v>
      </c>
      <c r="B124" s="4">
        <v>945.51602863999994</v>
      </c>
      <c r="C124" s="4">
        <v>3433404.394572</v>
      </c>
      <c r="D124" s="3">
        <v>0</v>
      </c>
      <c r="E124" s="3">
        <v>0</v>
      </c>
      <c r="F124" s="3">
        <v>0</v>
      </c>
      <c r="G124" s="3">
        <v>0</v>
      </c>
    </row>
    <row r="125" spans="1:7" x14ac:dyDescent="0.15">
      <c r="A125" s="3">
        <v>77010</v>
      </c>
      <c r="B125" s="4">
        <v>557.64158898999995</v>
      </c>
      <c r="C125" s="4">
        <v>460301.41928799998</v>
      </c>
      <c r="D125" s="3">
        <v>0</v>
      </c>
      <c r="E125" s="3">
        <v>0</v>
      </c>
      <c r="F125" s="4">
        <v>208.86848749999999</v>
      </c>
      <c r="G125" s="4">
        <v>41773.697500000002</v>
      </c>
    </row>
    <row r="126" spans="1:7" x14ac:dyDescent="0.15">
      <c r="A126" s="3">
        <v>77020</v>
      </c>
      <c r="B126" s="4">
        <v>5197.4365620999997</v>
      </c>
      <c r="C126" s="4">
        <v>7112484.8626108402</v>
      </c>
      <c r="D126" s="3">
        <v>0</v>
      </c>
      <c r="E126" s="3">
        <v>0</v>
      </c>
      <c r="F126" s="3">
        <v>0</v>
      </c>
      <c r="G126" s="3">
        <v>0</v>
      </c>
    </row>
    <row r="127" spans="1:7" x14ac:dyDescent="0.15">
      <c r="A127" s="3">
        <v>78000</v>
      </c>
      <c r="B127" s="4">
        <v>33839.629727979998</v>
      </c>
      <c r="C127" s="4">
        <v>57681648.260640703</v>
      </c>
      <c r="D127" s="3">
        <v>0</v>
      </c>
      <c r="E127" s="3">
        <v>0</v>
      </c>
      <c r="F127" s="4">
        <v>873.05049866000002</v>
      </c>
      <c r="G127" s="4">
        <v>2888027.0048699998</v>
      </c>
    </row>
    <row r="128" spans="1:7" x14ac:dyDescent="0.15">
      <c r="A128" s="3">
        <v>79000</v>
      </c>
      <c r="B128" s="4">
        <v>910.84566061999999</v>
      </c>
      <c r="C128" s="4">
        <v>2459283.2836739998</v>
      </c>
      <c r="D128" s="3">
        <v>0</v>
      </c>
      <c r="E128" s="3">
        <v>0</v>
      </c>
      <c r="F128" s="3">
        <v>0</v>
      </c>
      <c r="G128" s="3">
        <v>0</v>
      </c>
    </row>
    <row r="129" spans="1:7" x14ac:dyDescent="0.15">
      <c r="A129" s="3">
        <v>80000</v>
      </c>
      <c r="B129" s="4">
        <v>21016.64885496</v>
      </c>
      <c r="C129" s="4">
        <v>37250619.3966313</v>
      </c>
      <c r="D129" s="3">
        <v>0</v>
      </c>
      <c r="E129" s="3">
        <v>0</v>
      </c>
      <c r="F129" s="4">
        <v>2110.4014536499999</v>
      </c>
      <c r="G129" s="4">
        <v>4344834.7442445001</v>
      </c>
    </row>
    <row r="130" spans="1:7" x14ac:dyDescent="0.15">
      <c r="A130" s="3">
        <v>81011</v>
      </c>
      <c r="B130" s="4">
        <v>19356.724321080001</v>
      </c>
      <c r="C130" s="4">
        <v>25401453.536742698</v>
      </c>
      <c r="D130" s="3">
        <v>0</v>
      </c>
      <c r="E130" s="3">
        <v>0</v>
      </c>
      <c r="F130" s="3">
        <v>0</v>
      </c>
      <c r="G130" s="3">
        <v>0</v>
      </c>
    </row>
    <row r="131" spans="1:7" x14ac:dyDescent="0.15">
      <c r="A131" s="3">
        <v>81012</v>
      </c>
      <c r="B131" s="4">
        <v>20159.809247730002</v>
      </c>
      <c r="C131" s="4">
        <v>30621688.220948301</v>
      </c>
      <c r="D131" s="3">
        <v>0</v>
      </c>
      <c r="E131" s="3">
        <v>0</v>
      </c>
      <c r="F131" s="3">
        <v>0</v>
      </c>
      <c r="G131" s="3">
        <v>0</v>
      </c>
    </row>
    <row r="132" spans="1:7" x14ac:dyDescent="0.15">
      <c r="A132" s="3">
        <v>81020</v>
      </c>
      <c r="B132" s="4">
        <v>17800.275371740001</v>
      </c>
      <c r="C132" s="4">
        <v>8900137.6858699992</v>
      </c>
      <c r="D132" s="3">
        <v>0</v>
      </c>
      <c r="E132" s="3">
        <v>0</v>
      </c>
      <c r="F132" s="4">
        <v>17800.275371740001</v>
      </c>
      <c r="G132" s="4">
        <v>8900137.6858699992</v>
      </c>
    </row>
    <row r="133" spans="1:7" x14ac:dyDescent="0.15">
      <c r="A133" s="3">
        <v>82001</v>
      </c>
      <c r="B133" s="4">
        <v>1599.06991075</v>
      </c>
      <c r="C133" s="4">
        <v>903952.73097689997</v>
      </c>
      <c r="D133" s="3">
        <v>0</v>
      </c>
      <c r="E133" s="3">
        <v>0</v>
      </c>
      <c r="F133" s="3">
        <v>0</v>
      </c>
      <c r="G133" s="3">
        <v>0</v>
      </c>
    </row>
    <row r="134" spans="1:7" x14ac:dyDescent="0.15">
      <c r="A134" s="3">
        <v>82002</v>
      </c>
      <c r="B134" s="4">
        <v>8637.6105763199994</v>
      </c>
      <c r="C134" s="4">
        <v>9232436.2779178992</v>
      </c>
      <c r="D134" s="3">
        <v>0</v>
      </c>
      <c r="E134" s="3">
        <v>0</v>
      </c>
      <c r="F134" s="3">
        <v>0</v>
      </c>
      <c r="G134" s="3">
        <v>0</v>
      </c>
    </row>
    <row r="135" spans="1:7" x14ac:dyDescent="0.15">
      <c r="A135" s="3">
        <v>82003</v>
      </c>
      <c r="B135" s="4">
        <v>3948.9187495800002</v>
      </c>
      <c r="C135" s="4">
        <v>3667848.3281167499</v>
      </c>
      <c r="D135" s="3">
        <v>0</v>
      </c>
      <c r="E135" s="3">
        <v>0</v>
      </c>
      <c r="F135" s="4">
        <v>852.15294105999999</v>
      </c>
      <c r="G135" s="4">
        <v>406425.37851000001</v>
      </c>
    </row>
    <row r="136" spans="1:7" x14ac:dyDescent="0.15">
      <c r="A136" s="3">
        <v>82009</v>
      </c>
      <c r="B136" s="4">
        <v>5654.3342775700003</v>
      </c>
      <c r="C136" s="4">
        <v>4559534.2911136001</v>
      </c>
      <c r="D136" s="3">
        <v>0</v>
      </c>
      <c r="E136" s="3">
        <v>0</v>
      </c>
      <c r="F136" s="4">
        <v>987.96406536999996</v>
      </c>
      <c r="G136" s="4">
        <v>987964.06536999997</v>
      </c>
    </row>
    <row r="137" spans="1:7" x14ac:dyDescent="0.15">
      <c r="A137" s="3">
        <v>84011</v>
      </c>
      <c r="B137" s="4">
        <v>8888.9539382099993</v>
      </c>
      <c r="C137" s="4">
        <v>125727179.079707</v>
      </c>
      <c r="D137" s="3">
        <v>0</v>
      </c>
      <c r="E137" s="3">
        <v>0</v>
      </c>
      <c r="F137" s="3">
        <v>0</v>
      </c>
      <c r="G137" s="3">
        <v>0</v>
      </c>
    </row>
    <row r="138" spans="1:7" x14ac:dyDescent="0.15">
      <c r="A138" s="3">
        <v>84012</v>
      </c>
      <c r="B138" s="4">
        <v>17245.354502810002</v>
      </c>
      <c r="C138" s="4">
        <v>100873671.011618</v>
      </c>
      <c r="D138" s="3">
        <v>0</v>
      </c>
      <c r="E138" s="3">
        <v>0</v>
      </c>
      <c r="F138" s="3">
        <v>0</v>
      </c>
      <c r="G138" s="3">
        <v>0</v>
      </c>
    </row>
    <row r="139" spans="1:7" x14ac:dyDescent="0.15">
      <c r="A139" s="3">
        <v>84013</v>
      </c>
      <c r="B139" s="4">
        <v>123753.33118596001</v>
      </c>
      <c r="C139" s="4">
        <v>267735127.12282801</v>
      </c>
      <c r="D139" s="3">
        <v>0</v>
      </c>
      <c r="E139" s="3">
        <v>0</v>
      </c>
      <c r="F139" s="3">
        <v>0</v>
      </c>
      <c r="G139" s="3">
        <v>0</v>
      </c>
    </row>
    <row r="140" spans="1:7" x14ac:dyDescent="0.15">
      <c r="A140" s="3">
        <v>84014</v>
      </c>
      <c r="B140" s="4">
        <v>13532.26049479</v>
      </c>
      <c r="C140" s="4">
        <v>52331156.736393198</v>
      </c>
      <c r="D140" s="3">
        <v>0</v>
      </c>
      <c r="E140" s="3">
        <v>0</v>
      </c>
      <c r="F140" s="3">
        <v>0</v>
      </c>
      <c r="G140" s="3">
        <v>0</v>
      </c>
    </row>
    <row r="141" spans="1:7" x14ac:dyDescent="0.15">
      <c r="A141" s="3">
        <v>84015</v>
      </c>
      <c r="B141" s="4">
        <v>3654.6296743900002</v>
      </c>
      <c r="C141" s="4">
        <v>60753090.575612999</v>
      </c>
      <c r="D141" s="3">
        <v>0</v>
      </c>
      <c r="E141" s="3">
        <v>0</v>
      </c>
      <c r="F141" s="3">
        <v>0</v>
      </c>
      <c r="G141" s="3">
        <v>0</v>
      </c>
    </row>
    <row r="142" spans="1:7" x14ac:dyDescent="0.15">
      <c r="A142" s="3">
        <v>84016</v>
      </c>
      <c r="B142" s="4">
        <v>51299.387440190003</v>
      </c>
      <c r="C142" s="4">
        <v>409855290.29484898</v>
      </c>
      <c r="D142" s="3">
        <v>0</v>
      </c>
      <c r="E142" s="3">
        <v>0</v>
      </c>
      <c r="F142" s="3">
        <v>0</v>
      </c>
      <c r="G142" s="3">
        <v>0</v>
      </c>
    </row>
    <row r="143" spans="1:7" x14ac:dyDescent="0.15">
      <c r="A143" s="3">
        <v>84017</v>
      </c>
      <c r="B143" s="4">
        <v>6449.5177506099999</v>
      </c>
      <c r="C143" s="4">
        <v>17772794.7125067</v>
      </c>
      <c r="D143" s="3">
        <v>0</v>
      </c>
      <c r="E143" s="3">
        <v>0</v>
      </c>
      <c r="F143" s="3">
        <v>0</v>
      </c>
      <c r="G143" s="3">
        <v>0</v>
      </c>
    </row>
    <row r="144" spans="1:7" x14ac:dyDescent="0.15">
      <c r="A144" s="3">
        <v>84020</v>
      </c>
      <c r="B144" s="4">
        <v>669.70334979999996</v>
      </c>
      <c r="C144" s="4">
        <v>3249887.398244</v>
      </c>
      <c r="D144" s="3">
        <v>0</v>
      </c>
      <c r="E144" s="3">
        <v>0</v>
      </c>
      <c r="F144" s="3">
        <v>0</v>
      </c>
      <c r="G144" s="3">
        <v>0</v>
      </c>
    </row>
    <row r="145" spans="1:7" x14ac:dyDescent="0.15">
      <c r="A145" s="3">
        <v>85011</v>
      </c>
      <c r="B145" s="4">
        <v>6482.9132743399996</v>
      </c>
      <c r="C145" s="4">
        <v>10172310.693201</v>
      </c>
      <c r="D145" s="3">
        <v>0</v>
      </c>
      <c r="E145" s="3">
        <v>0</v>
      </c>
      <c r="F145" s="4">
        <v>1383.8353566000001</v>
      </c>
      <c r="G145" s="4">
        <v>899492.98178999999</v>
      </c>
    </row>
    <row r="146" spans="1:7" x14ac:dyDescent="0.15">
      <c r="A146" s="3">
        <v>85012</v>
      </c>
      <c r="B146" s="4">
        <v>106551.81373212</v>
      </c>
      <c r="C146" s="4">
        <v>269184558.75457299</v>
      </c>
      <c r="D146" s="3">
        <v>0</v>
      </c>
      <c r="E146" s="3">
        <v>0</v>
      </c>
      <c r="F146" s="4">
        <v>1130.62137654</v>
      </c>
      <c r="G146" s="4">
        <v>1049078.7127940001</v>
      </c>
    </row>
    <row r="147" spans="1:7" x14ac:dyDescent="0.15">
      <c r="A147" s="3">
        <v>85013</v>
      </c>
      <c r="B147" s="4">
        <v>43669.804264810002</v>
      </c>
      <c r="C147" s="4">
        <v>138860988.45844701</v>
      </c>
      <c r="D147" s="3">
        <v>0</v>
      </c>
      <c r="E147" s="3">
        <v>0</v>
      </c>
      <c r="F147" s="3">
        <v>0</v>
      </c>
      <c r="G147" s="3">
        <v>0</v>
      </c>
    </row>
    <row r="148" spans="1:7" x14ac:dyDescent="0.15">
      <c r="A148" s="3">
        <v>85014</v>
      </c>
      <c r="B148" s="4">
        <v>13529.72363463</v>
      </c>
      <c r="C148" s="4">
        <v>81006070.841694996</v>
      </c>
      <c r="D148" s="3">
        <v>0</v>
      </c>
      <c r="E148" s="3">
        <v>0</v>
      </c>
      <c r="F148" s="3">
        <v>0</v>
      </c>
      <c r="G148" s="3">
        <v>0</v>
      </c>
    </row>
    <row r="149" spans="1:7" x14ac:dyDescent="0.15">
      <c r="A149" s="3">
        <v>85029</v>
      </c>
      <c r="B149" s="4">
        <v>17377.57415615</v>
      </c>
      <c r="C149" s="4">
        <v>33583388.884167902</v>
      </c>
      <c r="D149" s="3">
        <v>0</v>
      </c>
      <c r="E149" s="3">
        <v>0</v>
      </c>
      <c r="F149" s="4">
        <v>7168.3086385300003</v>
      </c>
      <c r="G149" s="4">
        <v>4453460.2219585003</v>
      </c>
    </row>
    <row r="150" spans="1:7" x14ac:dyDescent="0.15">
      <c r="A150" s="3">
        <v>86001</v>
      </c>
      <c r="B150" s="4">
        <v>84421.376635299996</v>
      </c>
      <c r="C150" s="4">
        <v>317605925.580181</v>
      </c>
      <c r="D150" s="3">
        <v>0</v>
      </c>
      <c r="E150" s="3">
        <v>0</v>
      </c>
      <c r="F150" s="4">
        <v>2137.2979481500001</v>
      </c>
      <c r="G150" s="4">
        <v>58044065.157410003</v>
      </c>
    </row>
    <row r="151" spans="1:7" x14ac:dyDescent="0.15">
      <c r="A151" s="3">
        <v>86002</v>
      </c>
      <c r="B151" s="4">
        <v>56426.972060530003</v>
      </c>
      <c r="C151" s="4">
        <v>146132921.97586399</v>
      </c>
      <c r="D151" s="4">
        <v>2670.8469561400002</v>
      </c>
      <c r="E151" s="4">
        <v>17943733.566537</v>
      </c>
      <c r="F151" s="3">
        <v>0</v>
      </c>
      <c r="G151" s="3">
        <v>0</v>
      </c>
    </row>
    <row r="152" spans="1:7" x14ac:dyDescent="0.15">
      <c r="A152" s="3">
        <v>86003</v>
      </c>
      <c r="B152" s="4">
        <v>3941.38635303</v>
      </c>
      <c r="C152" s="4">
        <v>7678390.4434216004</v>
      </c>
      <c r="D152" s="3">
        <v>0</v>
      </c>
      <c r="E152" s="3">
        <v>0</v>
      </c>
      <c r="F152" s="3">
        <v>0</v>
      </c>
      <c r="G152" s="3">
        <v>0</v>
      </c>
    </row>
    <row r="153" spans="1:7" x14ac:dyDescent="0.15">
      <c r="A153" s="3">
        <v>86004</v>
      </c>
      <c r="B153" s="4">
        <v>16980.646048710001</v>
      </c>
      <c r="C153" s="4">
        <v>50291989.551730298</v>
      </c>
      <c r="D153" s="3">
        <v>0</v>
      </c>
      <c r="E153" s="3">
        <v>0</v>
      </c>
      <c r="F153" s="4">
        <v>8169.41766293</v>
      </c>
      <c r="G153" s="4">
        <v>27748912.815795001</v>
      </c>
    </row>
    <row r="154" spans="1:7" x14ac:dyDescent="0.15">
      <c r="A154" s="3">
        <v>86009</v>
      </c>
      <c r="B154" s="4">
        <v>1678.9115406400001</v>
      </c>
      <c r="C154" s="4">
        <v>1421746.7742075</v>
      </c>
      <c r="D154" s="3">
        <v>0</v>
      </c>
      <c r="E154" s="3">
        <v>0</v>
      </c>
      <c r="F154" s="4">
        <v>1113.7450125400001</v>
      </c>
      <c r="G154" s="4">
        <v>831147.75234300003</v>
      </c>
    </row>
    <row r="155" spans="1:7" x14ac:dyDescent="0.15">
      <c r="A155" s="3">
        <v>87000</v>
      </c>
      <c r="B155" s="4">
        <v>10963.057080889999</v>
      </c>
      <c r="C155" s="4">
        <v>16346827.1005332</v>
      </c>
      <c r="D155" s="3">
        <v>0</v>
      </c>
      <c r="E155" s="3">
        <v>0</v>
      </c>
      <c r="F155" s="3">
        <v>0</v>
      </c>
      <c r="G155" s="3">
        <v>0</v>
      </c>
    </row>
    <row r="156" spans="1:7" x14ac:dyDescent="0.15">
      <c r="A156" s="3">
        <v>90000</v>
      </c>
      <c r="B156" s="4">
        <v>2983.8228472000001</v>
      </c>
      <c r="C156" s="4">
        <v>3273055.0354360002</v>
      </c>
      <c r="D156" s="3">
        <v>0</v>
      </c>
      <c r="E156" s="3">
        <v>0</v>
      </c>
      <c r="F156" s="4">
        <v>2455.7134531800002</v>
      </c>
      <c r="G156" s="4">
        <v>2639323.7626120001</v>
      </c>
    </row>
    <row r="157" spans="1:7" x14ac:dyDescent="0.15">
      <c r="A157" s="3">
        <v>92000</v>
      </c>
      <c r="B157" s="4">
        <v>3353.2367897099998</v>
      </c>
      <c r="C157" s="4">
        <v>4132617.3454669998</v>
      </c>
      <c r="D157" s="3">
        <v>0</v>
      </c>
      <c r="E157" s="3">
        <v>0</v>
      </c>
      <c r="F157" s="4">
        <v>1013.85550618</v>
      </c>
      <c r="G157" s="4">
        <v>405542.20247199998</v>
      </c>
    </row>
    <row r="158" spans="1:7" x14ac:dyDescent="0.15">
      <c r="A158" s="3">
        <v>93011</v>
      </c>
      <c r="B158" s="4">
        <v>3085.5755729399998</v>
      </c>
      <c r="C158" s="4">
        <v>9616122.3544919994</v>
      </c>
      <c r="D158" s="3">
        <v>0</v>
      </c>
      <c r="E158" s="3">
        <v>0</v>
      </c>
      <c r="F158" s="3">
        <v>0</v>
      </c>
      <c r="G158" s="3">
        <v>0</v>
      </c>
    </row>
    <row r="159" spans="1:7" x14ac:dyDescent="0.15">
      <c r="A159" s="3">
        <v>93012</v>
      </c>
      <c r="B159" s="4">
        <v>11559.135814769999</v>
      </c>
      <c r="C159" s="4">
        <v>19421582.260291401</v>
      </c>
      <c r="D159" s="3">
        <v>0</v>
      </c>
      <c r="E159" s="3">
        <v>0</v>
      </c>
      <c r="F159" s="4">
        <v>1254.7825926</v>
      </c>
      <c r="G159" s="4">
        <v>1827320.8008739999</v>
      </c>
    </row>
    <row r="160" spans="1:7" x14ac:dyDescent="0.15">
      <c r="A160" s="3">
        <v>94010</v>
      </c>
      <c r="B160" s="4">
        <v>3527.2232016900002</v>
      </c>
      <c r="C160" s="4">
        <v>33703562.651014</v>
      </c>
      <c r="D160" s="3">
        <v>0</v>
      </c>
      <c r="E160" s="3">
        <v>0</v>
      </c>
      <c r="F160" s="3">
        <v>0</v>
      </c>
      <c r="G160" s="3">
        <v>0</v>
      </c>
    </row>
    <row r="161" spans="1:7" x14ac:dyDescent="0.15">
      <c r="A161" s="3">
        <v>94020</v>
      </c>
      <c r="B161" s="4">
        <v>1097.4731221</v>
      </c>
      <c r="C161" s="4">
        <v>3109171.5511146202</v>
      </c>
      <c r="D161" s="3">
        <v>0</v>
      </c>
      <c r="E161" s="3">
        <v>0</v>
      </c>
      <c r="F161" s="3">
        <v>0</v>
      </c>
      <c r="G161" s="3">
        <v>0</v>
      </c>
    </row>
    <row r="162" spans="1:7" x14ac:dyDescent="0.15">
      <c r="A162" s="3">
        <v>94091</v>
      </c>
      <c r="B162" s="4">
        <v>8654.1207173300008</v>
      </c>
      <c r="C162" s="4">
        <v>15516772.1519848</v>
      </c>
      <c r="D162" s="3">
        <v>0</v>
      </c>
      <c r="E162" s="3">
        <v>0</v>
      </c>
      <c r="F162" s="4">
        <v>5656.5137697399996</v>
      </c>
      <c r="G162" s="4">
        <v>5368382.7345081205</v>
      </c>
    </row>
    <row r="163" spans="1:7" x14ac:dyDescent="0.15">
      <c r="A163" s="3">
        <v>94099</v>
      </c>
      <c r="B163" s="4">
        <v>530.89916791999997</v>
      </c>
      <c r="C163" s="4">
        <v>4778092.5112800002</v>
      </c>
      <c r="D163" s="3">
        <v>0</v>
      </c>
      <c r="E163" s="3">
        <v>0</v>
      </c>
      <c r="F163" s="3">
        <v>0</v>
      </c>
      <c r="G163" s="3">
        <v>0</v>
      </c>
    </row>
    <row r="164" spans="1:7" x14ac:dyDescent="0.15">
      <c r="A164" s="3">
        <v>95010</v>
      </c>
      <c r="B164" s="4">
        <v>8059.7787170700003</v>
      </c>
      <c r="C164" s="4">
        <v>9745067.8596047498</v>
      </c>
      <c r="D164" s="3">
        <v>0</v>
      </c>
      <c r="E164" s="3">
        <v>0</v>
      </c>
      <c r="F164" s="4">
        <v>5204.0871012500002</v>
      </c>
      <c r="G164" s="4">
        <v>6719802.3555460004</v>
      </c>
    </row>
    <row r="165" spans="1:7" x14ac:dyDescent="0.15">
      <c r="A165" s="3">
        <v>95030</v>
      </c>
      <c r="B165" s="4">
        <v>22156.300469149999</v>
      </c>
      <c r="C165" s="4">
        <v>29221033.27775</v>
      </c>
      <c r="D165" s="3">
        <v>0</v>
      </c>
      <c r="E165" s="3">
        <v>0</v>
      </c>
      <c r="F165" s="4">
        <v>12915.39798858</v>
      </c>
      <c r="G165" s="4">
        <v>14582753.949201001</v>
      </c>
    </row>
    <row r="166" spans="1:7" x14ac:dyDescent="0.15">
      <c r="A166" s="3">
        <v>96010</v>
      </c>
      <c r="B166" s="4">
        <v>2721.0736566300002</v>
      </c>
      <c r="C166" s="4">
        <v>1301921.4114719999</v>
      </c>
      <c r="D166" s="3">
        <v>0</v>
      </c>
      <c r="E166" s="3">
        <v>0</v>
      </c>
      <c r="F166" s="3">
        <v>0</v>
      </c>
      <c r="G166" s="3">
        <v>0</v>
      </c>
    </row>
    <row r="167" spans="1:7" x14ac:dyDescent="0.15">
      <c r="A167" s="3">
        <v>96020</v>
      </c>
      <c r="B167" s="4">
        <v>89219.108118000004</v>
      </c>
      <c r="C167" s="4">
        <v>71995243.195778295</v>
      </c>
      <c r="D167" s="4">
        <v>5158.1552694499997</v>
      </c>
      <c r="E167" s="4">
        <v>6683847.2134656003</v>
      </c>
      <c r="F167" s="4">
        <v>77405.423214270006</v>
      </c>
      <c r="G167" s="4">
        <v>51919395.588510998</v>
      </c>
    </row>
    <row r="168" spans="1:7" x14ac:dyDescent="0.15">
      <c r="A168" s="3">
        <v>96030</v>
      </c>
      <c r="B168" s="4">
        <v>8203.4599125500008</v>
      </c>
      <c r="C168" s="4">
        <v>9357948.6861035395</v>
      </c>
      <c r="D168" s="3">
        <v>0</v>
      </c>
      <c r="E168" s="3">
        <v>0</v>
      </c>
      <c r="F168" s="3">
        <v>0</v>
      </c>
      <c r="G168" s="3">
        <v>0</v>
      </c>
    </row>
    <row r="169" spans="1:7" x14ac:dyDescent="0.15">
      <c r="A169" s="3">
        <v>96090</v>
      </c>
      <c r="B169" s="4">
        <v>6660.3253321900002</v>
      </c>
      <c r="C169" s="4">
        <v>11988400.944217</v>
      </c>
      <c r="D169" s="3">
        <v>0</v>
      </c>
      <c r="E169" s="3">
        <v>0</v>
      </c>
      <c r="F169" s="4">
        <v>4081.3271175199998</v>
      </c>
      <c r="G169" s="4">
        <v>8935404.2596589997</v>
      </c>
    </row>
    <row r="170" spans="1:7" x14ac:dyDescent="0.15">
      <c r="A170" s="3">
        <v>97000</v>
      </c>
      <c r="B170" s="4">
        <v>161689.86501216999</v>
      </c>
      <c r="C170" s="4">
        <v>112007137.37696099</v>
      </c>
      <c r="D170" s="3">
        <v>0</v>
      </c>
      <c r="E170" s="3">
        <v>0</v>
      </c>
      <c r="F170" s="3">
        <v>0</v>
      </c>
      <c r="G170" s="3">
        <v>0</v>
      </c>
    </row>
    <row r="171" spans="1:7" s="10" customFormat="1" x14ac:dyDescent="0.15">
      <c r="A171" s="10" t="s">
        <v>25</v>
      </c>
      <c r="B171" s="12">
        <f>SUM(B2:B170)</f>
        <v>3175076.3968629595</v>
      </c>
      <c r="C171" s="11">
        <f t="shared" ref="C171:G171" si="0">SUM(C2:C170)</f>
        <v>5631273544.4924355</v>
      </c>
      <c r="D171" s="12">
        <f t="shared" si="0"/>
        <v>41626.966611599993</v>
      </c>
      <c r="E171" s="11">
        <f t="shared" si="0"/>
        <v>142607136.90933445</v>
      </c>
      <c r="F171" s="12">
        <f t="shared" si="0"/>
        <v>1041033.2664934003</v>
      </c>
      <c r="G171" s="11">
        <f t="shared" si="0"/>
        <v>1118628742.9809639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5"/>
  <sheetViews>
    <sheetView topLeftCell="A139" zoomScale="150" zoomScaleNormal="150" workbookViewId="0">
      <selection activeCell="A165" sqref="A165:XFD165"/>
    </sheetView>
  </sheetViews>
  <sheetFormatPr baseColWidth="10" defaultColWidth="14.6640625" defaultRowHeight="13" x14ac:dyDescent="0.15"/>
  <cols>
    <col min="3" max="3" width="16" customWidth="1"/>
    <col min="4" max="4" width="18.83203125" customWidth="1"/>
    <col min="5" max="5" width="22.33203125" customWidth="1"/>
    <col min="6" max="6" width="20.1640625" customWidth="1"/>
    <col min="7" max="7" width="23.8320312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s="3">
        <v>0</v>
      </c>
      <c r="B2" s="5">
        <v>2075.76454754</v>
      </c>
      <c r="C2" s="5">
        <v>1111789.3234148</v>
      </c>
      <c r="D2" s="5">
        <v>0</v>
      </c>
      <c r="E2" s="5">
        <v>0</v>
      </c>
      <c r="F2" s="5">
        <v>825.16316684000003</v>
      </c>
      <c r="G2" s="5">
        <v>123774.475026</v>
      </c>
    </row>
    <row r="3" spans="1:7" x14ac:dyDescent="0.15">
      <c r="A3" s="3">
        <v>1102</v>
      </c>
      <c r="B3" s="5">
        <v>51243.512174099997</v>
      </c>
      <c r="C3" s="5">
        <v>16512202.557667799</v>
      </c>
      <c r="D3" s="5">
        <v>0</v>
      </c>
      <c r="E3" s="5">
        <v>0</v>
      </c>
      <c r="F3" s="5">
        <v>37463.588273089998</v>
      </c>
      <c r="G3" s="5">
        <v>12724701.017421801</v>
      </c>
    </row>
    <row r="4" spans="1:7" x14ac:dyDescent="0.15">
      <c r="A4" s="3">
        <v>1105</v>
      </c>
      <c r="B4" s="5">
        <v>31631.34980009</v>
      </c>
      <c r="C4" s="5">
        <v>46836668.307845503</v>
      </c>
      <c r="D4" s="5">
        <v>0</v>
      </c>
      <c r="E4" s="5">
        <v>0</v>
      </c>
      <c r="F4" s="5">
        <v>4225.7082619800003</v>
      </c>
      <c r="G4" s="5">
        <v>2707698.6758205001</v>
      </c>
    </row>
    <row r="5" spans="1:7" x14ac:dyDescent="0.15">
      <c r="A5" s="3">
        <v>1108</v>
      </c>
      <c r="B5" s="5">
        <v>37927.78399887</v>
      </c>
      <c r="C5" s="5">
        <v>15047543.0325647</v>
      </c>
      <c r="D5" s="5">
        <v>0</v>
      </c>
      <c r="E5" s="5">
        <v>0</v>
      </c>
      <c r="F5" s="5">
        <v>28390.862650629999</v>
      </c>
      <c r="G5" s="5">
        <v>11143469.800843701</v>
      </c>
    </row>
    <row r="6" spans="1:7" x14ac:dyDescent="0.15">
      <c r="A6" s="3">
        <v>1109</v>
      </c>
      <c r="B6" s="5">
        <v>78508.943002910004</v>
      </c>
      <c r="C6" s="5">
        <v>28112946.386105198</v>
      </c>
      <c r="D6" s="5">
        <v>1735.24599734</v>
      </c>
      <c r="E6" s="5">
        <v>694098.39893599995</v>
      </c>
      <c r="F6" s="5">
        <v>51746.619326979999</v>
      </c>
      <c r="G6" s="5">
        <v>19682920.836927898</v>
      </c>
    </row>
    <row r="7" spans="1:7" x14ac:dyDescent="0.15">
      <c r="A7" s="3">
        <v>1110</v>
      </c>
      <c r="B7" s="5">
        <v>23506.463835930001</v>
      </c>
      <c r="C7" s="5">
        <v>13758125.3795431</v>
      </c>
      <c r="D7" s="5">
        <v>0</v>
      </c>
      <c r="E7" s="5">
        <v>0</v>
      </c>
      <c r="F7" s="5">
        <v>14203.06924051</v>
      </c>
      <c r="G7" s="5">
        <v>8074788.7965420997</v>
      </c>
    </row>
    <row r="8" spans="1:7" x14ac:dyDescent="0.15">
      <c r="A8" s="3">
        <v>1111</v>
      </c>
      <c r="B8" s="5">
        <v>3343.0678755499998</v>
      </c>
      <c r="C8" s="5">
        <v>3444778.107363</v>
      </c>
      <c r="D8" s="5">
        <v>0</v>
      </c>
      <c r="E8" s="5">
        <v>0</v>
      </c>
      <c r="F8" s="5">
        <v>2788.5320347500001</v>
      </c>
      <c r="G8" s="5">
        <v>3001149.434723</v>
      </c>
    </row>
    <row r="9" spans="1:7" x14ac:dyDescent="0.15">
      <c r="A9" s="3">
        <v>1115</v>
      </c>
      <c r="B9" s="5">
        <v>6539.3972484100004</v>
      </c>
      <c r="C9" s="5">
        <v>4707628.5712649999</v>
      </c>
      <c r="D9" s="5">
        <v>0</v>
      </c>
      <c r="E9" s="5">
        <v>0</v>
      </c>
      <c r="F9" s="5">
        <v>3044.88541876</v>
      </c>
      <c r="G9" s="5">
        <v>1837342.112491</v>
      </c>
    </row>
    <row r="10" spans="1:7" x14ac:dyDescent="0.15">
      <c r="A10" s="3">
        <v>1116</v>
      </c>
      <c r="B10" s="5">
        <v>9436.5888708000002</v>
      </c>
      <c r="C10" s="5">
        <v>7971387.1829920001</v>
      </c>
      <c r="D10" s="5">
        <v>0</v>
      </c>
      <c r="E10" s="5">
        <v>0</v>
      </c>
      <c r="F10" s="5">
        <v>5535.9031046099999</v>
      </c>
      <c r="G10" s="5">
        <v>4566524.0921700001</v>
      </c>
    </row>
    <row r="11" spans="1:7" x14ac:dyDescent="0.15">
      <c r="A11" s="3">
        <v>1117</v>
      </c>
      <c r="B11" s="5">
        <v>15837.84745777</v>
      </c>
      <c r="C11" s="5">
        <v>20549988.349335</v>
      </c>
      <c r="D11" s="5">
        <v>0</v>
      </c>
      <c r="E11" s="5">
        <v>0</v>
      </c>
      <c r="F11" s="5">
        <v>2984.7024175299998</v>
      </c>
      <c r="G11" s="5">
        <v>1842556.937866</v>
      </c>
    </row>
    <row r="12" spans="1:7" x14ac:dyDescent="0.15">
      <c r="A12" s="3">
        <v>1119</v>
      </c>
      <c r="B12" s="5">
        <v>20518.641884060002</v>
      </c>
      <c r="C12" s="5">
        <v>13616773.9947765</v>
      </c>
      <c r="D12" s="5">
        <v>0</v>
      </c>
      <c r="E12" s="5">
        <v>0</v>
      </c>
      <c r="F12" s="5">
        <v>15589.75189525</v>
      </c>
      <c r="G12" s="5">
        <v>7668749.3631539997</v>
      </c>
    </row>
    <row r="13" spans="1:7" x14ac:dyDescent="0.15">
      <c r="A13" s="3">
        <v>1201</v>
      </c>
      <c r="B13" s="5">
        <v>20568.597308</v>
      </c>
      <c r="C13" s="5">
        <v>23259996.590289298</v>
      </c>
      <c r="D13" s="5">
        <v>0</v>
      </c>
      <c r="E13" s="5">
        <v>0</v>
      </c>
      <c r="F13" s="5">
        <v>8783.3205604699997</v>
      </c>
      <c r="G13" s="5">
        <v>12570176.138241399</v>
      </c>
    </row>
    <row r="14" spans="1:7" x14ac:dyDescent="0.15">
      <c r="A14" s="3">
        <v>1203</v>
      </c>
      <c r="B14" s="5">
        <v>8538.4890471100007</v>
      </c>
      <c r="C14" s="5">
        <v>2457183.6881019999</v>
      </c>
      <c r="D14" s="5">
        <v>0</v>
      </c>
      <c r="E14" s="5">
        <v>0</v>
      </c>
      <c r="F14" s="5">
        <v>4685.3481942500002</v>
      </c>
      <c r="G14" s="5">
        <v>2457183.6881019999</v>
      </c>
    </row>
    <row r="15" spans="1:7" x14ac:dyDescent="0.15">
      <c r="A15" s="3">
        <v>1204</v>
      </c>
      <c r="B15" s="5">
        <v>442.80863224000001</v>
      </c>
      <c r="C15" s="5">
        <v>265685.179344</v>
      </c>
      <c r="D15" s="5">
        <v>0</v>
      </c>
      <c r="E15" s="5">
        <v>0</v>
      </c>
      <c r="F15" s="5">
        <v>442.80863224000001</v>
      </c>
      <c r="G15" s="5">
        <v>265685.179344</v>
      </c>
    </row>
    <row r="16" spans="1:7" x14ac:dyDescent="0.15">
      <c r="A16" s="3">
        <v>1205</v>
      </c>
      <c r="B16" s="5">
        <v>6958.1902666599999</v>
      </c>
      <c r="C16" s="5">
        <v>6226620.4741630498</v>
      </c>
      <c r="D16" s="5">
        <v>0</v>
      </c>
      <c r="E16" s="5">
        <v>0</v>
      </c>
      <c r="F16" s="5">
        <v>630.72653605000005</v>
      </c>
      <c r="G16" s="5">
        <v>862650.05643500003</v>
      </c>
    </row>
    <row r="17" spans="1:7" x14ac:dyDescent="0.15">
      <c r="A17" s="3">
        <v>1401</v>
      </c>
      <c r="B17" s="5">
        <v>1202.91154916</v>
      </c>
      <c r="C17" s="5">
        <v>1220419.804459</v>
      </c>
      <c r="D17" s="5">
        <v>0</v>
      </c>
      <c r="E17" s="5">
        <v>0</v>
      </c>
      <c r="F17" s="5">
        <v>860.30188377000002</v>
      </c>
      <c r="G17" s="5">
        <v>946332.072147</v>
      </c>
    </row>
    <row r="18" spans="1:7" x14ac:dyDescent="0.15">
      <c r="A18" s="3">
        <v>1402</v>
      </c>
      <c r="B18" s="5">
        <v>1124.89620145</v>
      </c>
      <c r="C18" s="5">
        <v>1237385.8215950001</v>
      </c>
      <c r="D18" s="5">
        <v>0</v>
      </c>
      <c r="E18" s="5">
        <v>0</v>
      </c>
      <c r="F18" s="5">
        <v>1124.89620145</v>
      </c>
      <c r="G18" s="5">
        <v>1237385.8215950001</v>
      </c>
    </row>
    <row r="19" spans="1:7" x14ac:dyDescent="0.15">
      <c r="A19" s="3">
        <v>1999</v>
      </c>
      <c r="B19" s="5">
        <v>900.99310542000001</v>
      </c>
      <c r="C19" s="5">
        <v>300062.777841</v>
      </c>
      <c r="D19" s="5">
        <v>0</v>
      </c>
      <c r="E19" s="5">
        <v>0</v>
      </c>
      <c r="F19" s="5">
        <v>297.64846215</v>
      </c>
      <c r="G19" s="5">
        <v>119059.38486000001</v>
      </c>
    </row>
    <row r="20" spans="1:7" x14ac:dyDescent="0.15">
      <c r="A20" s="3">
        <v>2000</v>
      </c>
      <c r="B20" s="5">
        <v>2532.63357314</v>
      </c>
      <c r="C20" s="5">
        <v>1037311.4794388</v>
      </c>
      <c r="D20" s="5">
        <v>0</v>
      </c>
      <c r="E20" s="5">
        <v>0</v>
      </c>
      <c r="F20" s="5">
        <v>153.27578993</v>
      </c>
      <c r="G20" s="5">
        <v>45982.736979000001</v>
      </c>
    </row>
    <row r="21" spans="1:7" x14ac:dyDescent="0.15">
      <c r="A21" s="3">
        <v>3001</v>
      </c>
      <c r="B21" s="5">
        <v>4991.4773128500001</v>
      </c>
      <c r="C21" s="5">
        <v>1465683.4303590001</v>
      </c>
      <c r="D21" s="5">
        <v>0</v>
      </c>
      <c r="E21" s="5">
        <v>0</v>
      </c>
      <c r="F21" s="5">
        <v>4736.8085163100004</v>
      </c>
      <c r="G21" s="5">
        <v>1465683.4303590001</v>
      </c>
    </row>
    <row r="22" spans="1:7" x14ac:dyDescent="0.15">
      <c r="A22" s="3">
        <v>3002</v>
      </c>
      <c r="B22" s="5">
        <v>4860.9627215600003</v>
      </c>
      <c r="C22" s="5">
        <v>2421403.9779961002</v>
      </c>
      <c r="D22" s="5">
        <v>0</v>
      </c>
      <c r="E22" s="5">
        <v>0</v>
      </c>
      <c r="F22" s="5">
        <v>3252.8457261200001</v>
      </c>
      <c r="G22" s="5">
        <v>1378408.5515761001</v>
      </c>
    </row>
    <row r="23" spans="1:7" x14ac:dyDescent="0.15">
      <c r="A23" s="3">
        <v>6000</v>
      </c>
      <c r="B23" s="5">
        <v>1208.6684539400001</v>
      </c>
      <c r="C23" s="5">
        <v>12994207.219548</v>
      </c>
      <c r="D23" s="5">
        <v>0</v>
      </c>
      <c r="E23" s="5">
        <v>0</v>
      </c>
      <c r="F23" s="5">
        <v>0</v>
      </c>
      <c r="G23" s="5">
        <v>0</v>
      </c>
    </row>
    <row r="24" spans="1:7" x14ac:dyDescent="0.15">
      <c r="A24" s="3">
        <v>7002</v>
      </c>
      <c r="B24" s="5">
        <v>1937.7831519399999</v>
      </c>
      <c r="C24" s="5">
        <v>9009697.6832599994</v>
      </c>
      <c r="D24" s="5">
        <v>0</v>
      </c>
      <c r="E24" s="5">
        <v>0</v>
      </c>
      <c r="F24" s="5">
        <v>0</v>
      </c>
      <c r="G24" s="5">
        <v>0</v>
      </c>
    </row>
    <row r="25" spans="1:7" x14ac:dyDescent="0.15">
      <c r="A25" s="3">
        <v>8001</v>
      </c>
      <c r="B25" s="5">
        <v>5089.3557920100002</v>
      </c>
      <c r="C25" s="5">
        <v>5247767.8963010004</v>
      </c>
      <c r="D25" s="5">
        <v>0</v>
      </c>
      <c r="E25" s="5">
        <v>0</v>
      </c>
      <c r="F25" s="5">
        <v>1034.5495861700001</v>
      </c>
      <c r="G25" s="5">
        <v>413819.83446799999</v>
      </c>
    </row>
    <row r="26" spans="1:7" x14ac:dyDescent="0.15">
      <c r="A26" s="3">
        <v>10010</v>
      </c>
      <c r="B26" s="5">
        <v>15439.24613383</v>
      </c>
      <c r="C26" s="5">
        <v>33043499.286116801</v>
      </c>
      <c r="D26" s="5">
        <v>0</v>
      </c>
      <c r="E26" s="5">
        <v>0</v>
      </c>
      <c r="F26" s="5">
        <v>0</v>
      </c>
      <c r="G26" s="5">
        <v>0</v>
      </c>
    </row>
    <row r="27" spans="1:7" x14ac:dyDescent="0.15">
      <c r="A27" s="3">
        <v>10030</v>
      </c>
      <c r="B27" s="5">
        <v>7954.4540632199996</v>
      </c>
      <c r="C27" s="5">
        <v>4125189.3612143998</v>
      </c>
      <c r="D27" s="5">
        <v>0</v>
      </c>
      <c r="E27" s="5">
        <v>0</v>
      </c>
      <c r="F27" s="5">
        <v>5508.56301979</v>
      </c>
      <c r="G27" s="5">
        <v>1466490.4820495001</v>
      </c>
    </row>
    <row r="28" spans="1:7" x14ac:dyDescent="0.15">
      <c r="A28" s="3">
        <v>10091</v>
      </c>
      <c r="B28" s="5">
        <v>6081.2526170900001</v>
      </c>
      <c r="C28" s="5">
        <v>4976223.3358517997</v>
      </c>
      <c r="D28" s="5">
        <v>0</v>
      </c>
      <c r="E28" s="5">
        <v>0</v>
      </c>
      <c r="F28" s="5">
        <v>0</v>
      </c>
      <c r="G28" s="5">
        <v>0</v>
      </c>
    </row>
    <row r="29" spans="1:7" x14ac:dyDescent="0.15">
      <c r="A29" s="3">
        <v>10092</v>
      </c>
      <c r="B29" s="5">
        <v>10914.90086281</v>
      </c>
      <c r="C29" s="5">
        <v>15139167.4057073</v>
      </c>
      <c r="D29" s="5">
        <v>0</v>
      </c>
      <c r="E29" s="5">
        <v>0</v>
      </c>
      <c r="F29" s="5">
        <v>0</v>
      </c>
      <c r="G29" s="5">
        <v>0</v>
      </c>
    </row>
    <row r="30" spans="1:7" x14ac:dyDescent="0.15">
      <c r="A30" s="3">
        <v>10099</v>
      </c>
      <c r="B30" s="5">
        <v>13357.384925079999</v>
      </c>
      <c r="C30" s="5">
        <v>21614468.127085298</v>
      </c>
      <c r="D30" s="5">
        <v>0</v>
      </c>
      <c r="E30" s="5">
        <v>0</v>
      </c>
      <c r="F30" s="5">
        <v>0</v>
      </c>
      <c r="G30" s="5">
        <v>0</v>
      </c>
    </row>
    <row r="31" spans="1:7" x14ac:dyDescent="0.15">
      <c r="A31" s="3">
        <v>11000</v>
      </c>
      <c r="B31" s="5">
        <v>6433.1818270599997</v>
      </c>
      <c r="C31" s="5">
        <v>13590566.4018794</v>
      </c>
      <c r="D31" s="5">
        <v>0</v>
      </c>
      <c r="E31" s="5">
        <v>0</v>
      </c>
      <c r="F31" s="5">
        <v>0</v>
      </c>
      <c r="G31" s="5">
        <v>0</v>
      </c>
    </row>
    <row r="32" spans="1:7" x14ac:dyDescent="0.15">
      <c r="A32" s="3">
        <v>13001</v>
      </c>
      <c r="B32" s="5">
        <v>3702.3655718700002</v>
      </c>
      <c r="C32" s="5">
        <v>4219317.1120950999</v>
      </c>
      <c r="D32" s="5">
        <v>0</v>
      </c>
      <c r="E32" s="5">
        <v>0</v>
      </c>
      <c r="F32" s="5">
        <v>331.61533560999999</v>
      </c>
      <c r="G32" s="5">
        <v>187247.798056</v>
      </c>
    </row>
    <row r="33" spans="1:7" x14ac:dyDescent="0.15">
      <c r="A33" s="3">
        <v>13002</v>
      </c>
      <c r="B33" s="5">
        <v>17472.722984470001</v>
      </c>
      <c r="C33" s="5">
        <v>19227511.3465496</v>
      </c>
      <c r="D33" s="5">
        <v>0</v>
      </c>
      <c r="E33" s="5">
        <v>0</v>
      </c>
      <c r="F33" s="5">
        <v>7762.6724435899996</v>
      </c>
      <c r="G33" s="5">
        <v>4801254.1197190499</v>
      </c>
    </row>
    <row r="34" spans="1:7" x14ac:dyDescent="0.15">
      <c r="A34" s="3">
        <v>14001</v>
      </c>
      <c r="B34" s="5">
        <v>105449.34320393</v>
      </c>
      <c r="C34" s="5">
        <v>94132129.757701293</v>
      </c>
      <c r="D34" s="5">
        <v>1640.16742116</v>
      </c>
      <c r="E34" s="5">
        <v>1968200.905392</v>
      </c>
      <c r="F34" s="5">
        <v>36602.662067739999</v>
      </c>
      <c r="G34" s="5">
        <v>27248325.167565901</v>
      </c>
    </row>
    <row r="35" spans="1:7" x14ac:dyDescent="0.15">
      <c r="A35" s="3">
        <v>14002</v>
      </c>
      <c r="B35" s="5">
        <v>18744.476558959999</v>
      </c>
      <c r="C35" s="5">
        <v>12993420.312996799</v>
      </c>
      <c r="D35" s="5">
        <v>878.33254036999995</v>
      </c>
      <c r="E35" s="5">
        <v>2195831.3509249999</v>
      </c>
      <c r="F35" s="5">
        <v>15590.39805876</v>
      </c>
      <c r="G35" s="5">
        <v>9887290.5781398006</v>
      </c>
    </row>
    <row r="36" spans="1:7" x14ac:dyDescent="0.15">
      <c r="A36" s="3">
        <v>15020</v>
      </c>
      <c r="B36" s="5">
        <v>1783.90359109</v>
      </c>
      <c r="C36" s="5">
        <v>1481450.761193</v>
      </c>
      <c r="D36" s="5">
        <v>0</v>
      </c>
      <c r="E36" s="5">
        <v>0</v>
      </c>
      <c r="F36" s="5">
        <v>961.81411235999997</v>
      </c>
      <c r="G36" s="5">
        <v>777027.00381000002</v>
      </c>
    </row>
    <row r="37" spans="1:7" x14ac:dyDescent="0.15">
      <c r="A37" s="3">
        <v>16001</v>
      </c>
      <c r="B37" s="5">
        <v>276.41341943999998</v>
      </c>
      <c r="C37" s="5">
        <v>221130.735552</v>
      </c>
      <c r="D37" s="5">
        <v>0</v>
      </c>
      <c r="E37" s="5">
        <v>0</v>
      </c>
      <c r="F37" s="5">
        <v>0</v>
      </c>
      <c r="G37" s="5">
        <v>0</v>
      </c>
    </row>
    <row r="38" spans="1:7" x14ac:dyDescent="0.15">
      <c r="A38" s="3">
        <v>16002</v>
      </c>
      <c r="B38" s="5">
        <v>8023.0090620700003</v>
      </c>
      <c r="C38" s="5">
        <v>11258479.566801099</v>
      </c>
      <c r="D38" s="5">
        <v>0</v>
      </c>
      <c r="E38" s="5">
        <v>0</v>
      </c>
      <c r="F38" s="5">
        <v>4182.5432167999998</v>
      </c>
      <c r="G38" s="5">
        <v>5127793.0868330002</v>
      </c>
    </row>
    <row r="39" spans="1:7" x14ac:dyDescent="0.15">
      <c r="A39" s="3">
        <v>17001</v>
      </c>
      <c r="B39" s="5">
        <v>298.13584032</v>
      </c>
      <c r="C39" s="5">
        <v>327949.424352</v>
      </c>
      <c r="D39" s="5">
        <v>0</v>
      </c>
      <c r="E39" s="5">
        <v>0</v>
      </c>
      <c r="F39" s="5">
        <v>0</v>
      </c>
      <c r="G39" s="5">
        <v>0</v>
      </c>
    </row>
    <row r="40" spans="1:7" x14ac:dyDescent="0.15">
      <c r="A40" s="3">
        <v>17002</v>
      </c>
      <c r="B40" s="5">
        <v>7268.5305744300003</v>
      </c>
      <c r="C40" s="5">
        <v>13742564.316327</v>
      </c>
      <c r="D40" s="5">
        <v>0</v>
      </c>
      <c r="E40" s="5">
        <v>0</v>
      </c>
      <c r="F40" s="5">
        <v>691.69134799999995</v>
      </c>
      <c r="G40" s="5">
        <v>1383382696</v>
      </c>
    </row>
    <row r="41" spans="1:7" x14ac:dyDescent="0.15">
      <c r="A41" s="3">
        <v>18000</v>
      </c>
      <c r="B41" s="5">
        <v>5348.5862881200001</v>
      </c>
      <c r="C41" s="5">
        <v>3828358.8969604801</v>
      </c>
      <c r="D41" s="5">
        <v>0</v>
      </c>
      <c r="E41" s="5">
        <v>0</v>
      </c>
      <c r="F41" s="5">
        <v>1009.94318746</v>
      </c>
      <c r="G41" s="5">
        <v>807954.54996800004</v>
      </c>
    </row>
    <row r="42" spans="1:7" x14ac:dyDescent="0.15">
      <c r="A42" s="3">
        <v>19020</v>
      </c>
      <c r="B42" s="5">
        <v>400.79386850999998</v>
      </c>
      <c r="C42" s="5">
        <v>1542968.0740700001</v>
      </c>
      <c r="D42" s="5">
        <v>0</v>
      </c>
      <c r="E42" s="5">
        <v>0</v>
      </c>
      <c r="F42" s="5">
        <v>0</v>
      </c>
      <c r="G42" s="5">
        <v>0</v>
      </c>
    </row>
    <row r="43" spans="1:7" x14ac:dyDescent="0.15">
      <c r="A43" s="3">
        <v>20010</v>
      </c>
      <c r="B43" s="5">
        <v>361.58737769999999</v>
      </c>
      <c r="C43" s="5">
        <v>542381.06654999999</v>
      </c>
      <c r="D43" s="5">
        <v>0</v>
      </c>
      <c r="E43" s="5">
        <v>0</v>
      </c>
      <c r="F43" s="5">
        <v>0</v>
      </c>
      <c r="G43" s="5">
        <v>0</v>
      </c>
    </row>
    <row r="44" spans="1:7" x14ac:dyDescent="0.15">
      <c r="A44" s="3">
        <v>20020</v>
      </c>
      <c r="B44" s="5">
        <v>5756.35874461</v>
      </c>
      <c r="C44" s="5">
        <v>8095649.4947800003</v>
      </c>
      <c r="D44" s="5">
        <v>0</v>
      </c>
      <c r="E44" s="5">
        <v>0</v>
      </c>
      <c r="F44" s="5">
        <v>0</v>
      </c>
      <c r="G44" s="5">
        <v>0</v>
      </c>
    </row>
    <row r="45" spans="1:7" x14ac:dyDescent="0.15">
      <c r="A45" s="3">
        <v>21000</v>
      </c>
      <c r="B45" s="5">
        <v>1955.07624913</v>
      </c>
      <c r="C45" s="5">
        <v>3813516.1891439999</v>
      </c>
      <c r="D45" s="5">
        <v>0</v>
      </c>
      <c r="E45" s="5">
        <v>0</v>
      </c>
      <c r="F45" s="5">
        <v>0</v>
      </c>
      <c r="G45" s="5">
        <v>0</v>
      </c>
    </row>
    <row r="46" spans="1:7" x14ac:dyDescent="0.15">
      <c r="A46" s="3">
        <v>22020</v>
      </c>
      <c r="B46" s="5">
        <v>7831.0962141099999</v>
      </c>
      <c r="C46" s="5">
        <v>12637807.162032301</v>
      </c>
      <c r="D46" s="5">
        <v>0</v>
      </c>
      <c r="E46" s="5">
        <v>0</v>
      </c>
      <c r="F46" s="5">
        <v>0</v>
      </c>
      <c r="G46" s="5">
        <v>0</v>
      </c>
    </row>
    <row r="47" spans="1:7" x14ac:dyDescent="0.15">
      <c r="A47" s="3">
        <v>23010</v>
      </c>
      <c r="B47" s="5">
        <v>671.00256915</v>
      </c>
      <c r="C47" s="5">
        <v>1409105.395215</v>
      </c>
      <c r="D47" s="5">
        <v>0</v>
      </c>
      <c r="E47" s="5">
        <v>0</v>
      </c>
      <c r="F47" s="5">
        <v>0</v>
      </c>
      <c r="G47" s="5">
        <v>0</v>
      </c>
    </row>
    <row r="48" spans="1:7" x14ac:dyDescent="0.15">
      <c r="A48" s="3">
        <v>23091</v>
      </c>
      <c r="B48" s="5">
        <v>9292.3915755500002</v>
      </c>
      <c r="C48" s="5">
        <v>11613879.0671409</v>
      </c>
      <c r="D48" s="5">
        <v>0</v>
      </c>
      <c r="E48" s="5">
        <v>0</v>
      </c>
      <c r="F48" s="5">
        <v>1013.43516174</v>
      </c>
      <c r="G48" s="5">
        <v>1368137.468349</v>
      </c>
    </row>
    <row r="49" spans="1:7" x14ac:dyDescent="0.15">
      <c r="A49" s="3">
        <v>23099</v>
      </c>
      <c r="B49" s="5">
        <v>6979.7832901100001</v>
      </c>
      <c r="C49" s="5">
        <v>9204331.6133295</v>
      </c>
      <c r="D49" s="5">
        <v>0</v>
      </c>
      <c r="E49" s="5">
        <v>0</v>
      </c>
      <c r="F49" s="5">
        <v>190.31665466999999</v>
      </c>
      <c r="G49" s="5">
        <v>418696.640274</v>
      </c>
    </row>
    <row r="50" spans="1:7" x14ac:dyDescent="0.15">
      <c r="A50" s="3">
        <v>24001</v>
      </c>
      <c r="B50" s="5">
        <v>1180.26303568</v>
      </c>
      <c r="C50" s="5">
        <v>1534341.9463839999</v>
      </c>
      <c r="D50" s="5">
        <v>0</v>
      </c>
      <c r="E50" s="5">
        <v>0</v>
      </c>
      <c r="F50" s="5">
        <v>0</v>
      </c>
      <c r="G50" s="5">
        <v>0</v>
      </c>
    </row>
    <row r="51" spans="1:7" x14ac:dyDescent="0.15">
      <c r="A51" s="3">
        <v>25001</v>
      </c>
      <c r="B51" s="5">
        <v>15617.846983719999</v>
      </c>
      <c r="C51" s="5">
        <v>22610134.480746001</v>
      </c>
      <c r="D51" s="5">
        <v>0</v>
      </c>
      <c r="E51" s="5">
        <v>0</v>
      </c>
      <c r="F51" s="5">
        <v>6535.2228164500002</v>
      </c>
      <c r="G51" s="5">
        <v>7884866.5263090003</v>
      </c>
    </row>
    <row r="52" spans="1:7" x14ac:dyDescent="0.15">
      <c r="A52" s="3">
        <v>25002</v>
      </c>
      <c r="B52" s="5">
        <v>3554.3676660299998</v>
      </c>
      <c r="C52" s="5">
        <v>3604225.8383848001</v>
      </c>
      <c r="D52" s="5">
        <v>0</v>
      </c>
      <c r="E52" s="5">
        <v>0</v>
      </c>
      <c r="F52" s="5">
        <v>2429.7133977899998</v>
      </c>
      <c r="G52" s="5">
        <v>2428962.1280740001</v>
      </c>
    </row>
    <row r="53" spans="1:7" x14ac:dyDescent="0.15">
      <c r="A53" s="3">
        <v>26041</v>
      </c>
      <c r="B53" s="5">
        <v>838.30462277000004</v>
      </c>
      <c r="C53" s="5">
        <v>922135.08504699997</v>
      </c>
      <c r="D53" s="5">
        <v>0</v>
      </c>
      <c r="E53" s="5">
        <v>0</v>
      </c>
      <c r="F53" s="5">
        <v>0</v>
      </c>
      <c r="G53" s="5">
        <v>0</v>
      </c>
    </row>
    <row r="54" spans="1:7" x14ac:dyDescent="0.15">
      <c r="A54" s="3">
        <v>27090</v>
      </c>
      <c r="B54" s="5">
        <v>8625.8891626900004</v>
      </c>
      <c r="C54" s="5">
        <v>15255518.803395201</v>
      </c>
      <c r="D54" s="5">
        <v>0</v>
      </c>
      <c r="E54" s="5">
        <v>0</v>
      </c>
      <c r="F54" s="5">
        <v>282.84947843999998</v>
      </c>
      <c r="G54" s="5">
        <v>848548.43532000005</v>
      </c>
    </row>
    <row r="55" spans="1:7" x14ac:dyDescent="0.15">
      <c r="A55" s="3">
        <v>28000</v>
      </c>
      <c r="B55" s="5">
        <v>3807.2324955300001</v>
      </c>
      <c r="C55" s="5">
        <v>5705196.1462936001</v>
      </c>
      <c r="D55" s="5">
        <v>0</v>
      </c>
      <c r="E55" s="5">
        <v>0</v>
      </c>
      <c r="F55" s="5">
        <v>0</v>
      </c>
      <c r="G55" s="5">
        <v>0</v>
      </c>
    </row>
    <row r="56" spans="1:7" x14ac:dyDescent="0.15">
      <c r="A56" s="3">
        <v>29001</v>
      </c>
      <c r="B56" s="5">
        <v>14246.059848389999</v>
      </c>
      <c r="C56" s="5">
        <v>19794829.0108792</v>
      </c>
      <c r="D56" s="5">
        <v>0</v>
      </c>
      <c r="E56" s="5">
        <v>0</v>
      </c>
      <c r="F56" s="5">
        <v>0</v>
      </c>
      <c r="G56" s="5">
        <v>0</v>
      </c>
    </row>
    <row r="57" spans="1:7" x14ac:dyDescent="0.15">
      <c r="A57" s="3">
        <v>29002</v>
      </c>
      <c r="B57" s="5">
        <v>1745.24679827</v>
      </c>
      <c r="C57" s="5">
        <v>2454227.9901419999</v>
      </c>
      <c r="D57" s="5">
        <v>0</v>
      </c>
      <c r="E57" s="5">
        <v>0</v>
      </c>
      <c r="F57" s="5">
        <v>0</v>
      </c>
      <c r="G57" s="5">
        <v>0</v>
      </c>
    </row>
    <row r="58" spans="1:7" x14ac:dyDescent="0.15">
      <c r="A58" s="3">
        <v>30010</v>
      </c>
      <c r="B58" s="5">
        <v>395.76431539999999</v>
      </c>
      <c r="C58" s="5">
        <v>435340.74693999998</v>
      </c>
      <c r="D58" s="5">
        <v>0</v>
      </c>
      <c r="E58" s="5">
        <v>0</v>
      </c>
      <c r="F58" s="5">
        <v>0</v>
      </c>
      <c r="G58" s="5">
        <v>0</v>
      </c>
    </row>
    <row r="59" spans="1:7" x14ac:dyDescent="0.15">
      <c r="A59" s="3">
        <v>31000</v>
      </c>
      <c r="B59" s="5">
        <v>21725.577627859999</v>
      </c>
      <c r="C59" s="5">
        <v>27330507.558402002</v>
      </c>
      <c r="D59" s="5">
        <v>0</v>
      </c>
      <c r="E59" s="5">
        <v>0</v>
      </c>
      <c r="F59" s="5">
        <v>9606.4414915199995</v>
      </c>
      <c r="G59" s="5">
        <v>9933467.1123389993</v>
      </c>
    </row>
    <row r="60" spans="1:7" x14ac:dyDescent="0.15">
      <c r="A60" s="3">
        <v>32009</v>
      </c>
      <c r="B60" s="5">
        <v>1313.2830684</v>
      </c>
      <c r="C60" s="5">
        <v>2255143.2509639999</v>
      </c>
      <c r="D60" s="5">
        <v>0</v>
      </c>
      <c r="E60" s="5">
        <v>0</v>
      </c>
      <c r="F60" s="5">
        <v>863.20798200000002</v>
      </c>
      <c r="G60" s="5">
        <v>1670045.638644</v>
      </c>
    </row>
    <row r="61" spans="1:7" x14ac:dyDescent="0.15">
      <c r="A61" s="3">
        <v>33001</v>
      </c>
      <c r="B61" s="5">
        <v>6198.96186665</v>
      </c>
      <c r="C61" s="5">
        <v>10058429.903349999</v>
      </c>
      <c r="D61" s="5">
        <v>0</v>
      </c>
      <c r="E61" s="5">
        <v>0</v>
      </c>
      <c r="F61" s="5">
        <v>1484.64127448</v>
      </c>
      <c r="G61" s="5">
        <v>2926453.6319200001</v>
      </c>
    </row>
    <row r="62" spans="1:7" x14ac:dyDescent="0.15">
      <c r="A62" s="3">
        <v>33002</v>
      </c>
      <c r="B62" s="5">
        <v>512.31734870000003</v>
      </c>
      <c r="C62" s="5">
        <v>768476.02304999996</v>
      </c>
      <c r="D62" s="5">
        <v>0</v>
      </c>
      <c r="E62" s="5">
        <v>0</v>
      </c>
      <c r="F62" s="5">
        <v>512.31734870000003</v>
      </c>
      <c r="G62" s="5">
        <v>768476.02304999996</v>
      </c>
    </row>
    <row r="63" spans="1:7" x14ac:dyDescent="0.15">
      <c r="A63" s="3">
        <v>35010</v>
      </c>
      <c r="B63" s="5">
        <v>7667.6019361899998</v>
      </c>
      <c r="C63" s="5">
        <v>12374525.26574</v>
      </c>
      <c r="D63" s="5">
        <v>0</v>
      </c>
      <c r="E63" s="5">
        <v>0</v>
      </c>
      <c r="F63" s="5">
        <v>0</v>
      </c>
      <c r="G63" s="5">
        <v>0</v>
      </c>
    </row>
    <row r="64" spans="1:7" x14ac:dyDescent="0.15">
      <c r="A64" s="3">
        <v>36000</v>
      </c>
      <c r="B64" s="5">
        <v>2633.6747408599999</v>
      </c>
      <c r="C64" s="5">
        <v>6203166.5732000005</v>
      </c>
      <c r="D64" s="5">
        <v>0</v>
      </c>
      <c r="E64" s="5">
        <v>0</v>
      </c>
      <c r="F64" s="5">
        <v>0</v>
      </c>
      <c r="G64" s="5">
        <v>0</v>
      </c>
    </row>
    <row r="65" spans="1:7" x14ac:dyDescent="0.15">
      <c r="A65" s="3">
        <v>38000</v>
      </c>
      <c r="B65" s="5">
        <v>3370.3182168500002</v>
      </c>
      <c r="C65" s="5">
        <v>5248559.1558612399</v>
      </c>
      <c r="D65" s="5">
        <v>0</v>
      </c>
      <c r="E65" s="5">
        <v>0</v>
      </c>
      <c r="F65" s="5">
        <v>0</v>
      </c>
      <c r="G65" s="5">
        <v>0</v>
      </c>
    </row>
    <row r="66" spans="1:7" x14ac:dyDescent="0.15">
      <c r="A66" s="3">
        <v>39000</v>
      </c>
      <c r="B66" s="5">
        <v>403.33582595000001</v>
      </c>
      <c r="C66" s="5">
        <v>322668.66076</v>
      </c>
      <c r="D66" s="5">
        <v>0</v>
      </c>
      <c r="E66" s="5">
        <v>0</v>
      </c>
      <c r="F66" s="5">
        <v>0</v>
      </c>
      <c r="G66" s="5">
        <v>0</v>
      </c>
    </row>
    <row r="67" spans="1:7" x14ac:dyDescent="0.15">
      <c r="A67" s="3">
        <v>41000</v>
      </c>
      <c r="B67" s="5">
        <v>181549.38199245001</v>
      </c>
      <c r="C67" s="5">
        <v>202928312.81804299</v>
      </c>
      <c r="D67" s="5">
        <v>0</v>
      </c>
      <c r="E67" s="5">
        <v>0</v>
      </c>
      <c r="F67" s="5">
        <v>109014.16528269</v>
      </c>
      <c r="G67" s="5">
        <v>100803873.824644</v>
      </c>
    </row>
    <row r="68" spans="1:7" x14ac:dyDescent="0.15">
      <c r="A68" s="3">
        <v>42000</v>
      </c>
      <c r="B68" s="5">
        <v>18476.557672999999</v>
      </c>
      <c r="C68" s="5">
        <v>36382166.832756899</v>
      </c>
      <c r="D68" s="5">
        <v>0</v>
      </c>
      <c r="E68" s="5">
        <v>0</v>
      </c>
      <c r="F68" s="5">
        <v>0</v>
      </c>
      <c r="G68" s="5">
        <v>0</v>
      </c>
    </row>
    <row r="69" spans="1:7" x14ac:dyDescent="0.15">
      <c r="A69" s="3">
        <v>43000</v>
      </c>
      <c r="B69" s="5">
        <v>61036.713975489998</v>
      </c>
      <c r="C69" s="5">
        <v>84465819.229291394</v>
      </c>
      <c r="D69" s="5">
        <v>554.40832554999997</v>
      </c>
      <c r="E69" s="5">
        <v>1386020.813875</v>
      </c>
      <c r="F69" s="5">
        <v>36480.475156820001</v>
      </c>
      <c r="G69" s="5">
        <v>57205546.849288501</v>
      </c>
    </row>
    <row r="70" spans="1:7" x14ac:dyDescent="0.15">
      <c r="A70" s="3">
        <v>45010</v>
      </c>
      <c r="B70" s="5">
        <v>4420.0653228700003</v>
      </c>
      <c r="C70" s="5">
        <v>13582196.815365501</v>
      </c>
      <c r="D70" s="5">
        <v>0</v>
      </c>
      <c r="E70" s="5">
        <v>0</v>
      </c>
      <c r="F70" s="5">
        <v>548.89067032000003</v>
      </c>
      <c r="G70" s="5">
        <v>4391125.3625600003</v>
      </c>
    </row>
    <row r="71" spans="1:7" x14ac:dyDescent="0.15">
      <c r="A71" s="3">
        <v>45020</v>
      </c>
      <c r="B71" s="5">
        <v>63616.677310949999</v>
      </c>
      <c r="C71" s="5">
        <v>70902478.789992094</v>
      </c>
      <c r="D71" s="5">
        <v>2204.9262309300002</v>
      </c>
      <c r="E71" s="5">
        <v>9056909.7122520003</v>
      </c>
      <c r="F71" s="5">
        <v>23761.537123120001</v>
      </c>
      <c r="G71" s="5">
        <v>22021710.4769185</v>
      </c>
    </row>
    <row r="72" spans="1:7" x14ac:dyDescent="0.15">
      <c r="A72" s="3">
        <v>45030</v>
      </c>
      <c r="B72" s="5">
        <v>6407.7889722099999</v>
      </c>
      <c r="C72" s="5">
        <v>10839333.2728331</v>
      </c>
      <c r="D72" s="5">
        <v>0</v>
      </c>
      <c r="E72" s="5">
        <v>0</v>
      </c>
      <c r="F72" s="5">
        <v>198.65664606000001</v>
      </c>
      <c r="G72" s="5">
        <v>178790.98145399999</v>
      </c>
    </row>
    <row r="73" spans="1:7" x14ac:dyDescent="0.15">
      <c r="A73" s="3">
        <v>45040</v>
      </c>
      <c r="B73" s="5">
        <v>11893.61250327</v>
      </c>
      <c r="C73" s="5">
        <v>11812841.381398</v>
      </c>
      <c r="D73" s="5">
        <v>0</v>
      </c>
      <c r="E73" s="5">
        <v>0</v>
      </c>
      <c r="F73" s="5">
        <v>4782.3977062699996</v>
      </c>
      <c r="G73" s="5">
        <v>6856507.0086129997</v>
      </c>
    </row>
    <row r="74" spans="1:7" x14ac:dyDescent="0.15">
      <c r="A74" s="3">
        <v>48010</v>
      </c>
      <c r="B74" s="5">
        <v>663.57169071999999</v>
      </c>
      <c r="C74" s="5">
        <v>1990715.07216</v>
      </c>
      <c r="D74" s="5">
        <v>0</v>
      </c>
      <c r="E74" s="5">
        <v>0</v>
      </c>
      <c r="F74" s="5">
        <v>0</v>
      </c>
      <c r="G74" s="5">
        <v>0</v>
      </c>
    </row>
    <row r="75" spans="1:7" x14ac:dyDescent="0.15">
      <c r="A75" s="3">
        <v>48020</v>
      </c>
      <c r="B75" s="5">
        <v>3201.43494882</v>
      </c>
      <c r="C75" s="5">
        <v>2178851.8395324</v>
      </c>
      <c r="D75" s="5">
        <v>0</v>
      </c>
      <c r="E75" s="5">
        <v>0</v>
      </c>
      <c r="F75" s="5">
        <v>941.75110073999997</v>
      </c>
      <c r="G75" s="5">
        <v>1412626.65111</v>
      </c>
    </row>
    <row r="76" spans="1:7" x14ac:dyDescent="0.15">
      <c r="A76" s="3">
        <v>48030</v>
      </c>
      <c r="B76" s="5">
        <v>139609.48340602999</v>
      </c>
      <c r="C76" s="5">
        <v>169026956.58236501</v>
      </c>
      <c r="D76" s="5">
        <v>4178.9458822400002</v>
      </c>
      <c r="E76" s="5">
        <v>15738926.359111</v>
      </c>
      <c r="F76" s="5">
        <v>50167.106607959999</v>
      </c>
      <c r="G76" s="5">
        <v>55696521.623016402</v>
      </c>
    </row>
    <row r="77" spans="1:7" x14ac:dyDescent="0.15">
      <c r="A77" s="3">
        <v>48041</v>
      </c>
      <c r="B77" s="5">
        <v>4827.1482027000002</v>
      </c>
      <c r="C77" s="5">
        <v>8122766.4897299996</v>
      </c>
      <c r="D77" s="5">
        <v>0</v>
      </c>
      <c r="E77" s="5">
        <v>0</v>
      </c>
      <c r="F77" s="5">
        <v>2254.9364138000001</v>
      </c>
      <c r="G77" s="5">
        <v>5551005.1764169997</v>
      </c>
    </row>
    <row r="78" spans="1:7" x14ac:dyDescent="0.15">
      <c r="A78" s="3">
        <v>48042</v>
      </c>
      <c r="B78" s="5">
        <v>67464.533337960005</v>
      </c>
      <c r="C78" s="5">
        <v>82416769.703168496</v>
      </c>
      <c r="D78" s="5">
        <v>688.48337538999999</v>
      </c>
      <c r="E78" s="5">
        <v>1032725.063085</v>
      </c>
      <c r="F78" s="5">
        <v>35079.766081089998</v>
      </c>
      <c r="G78" s="5">
        <v>35806126.117961504</v>
      </c>
    </row>
    <row r="79" spans="1:7" x14ac:dyDescent="0.15">
      <c r="A79" s="3">
        <v>48050</v>
      </c>
      <c r="B79" s="5">
        <v>34759.425629199999</v>
      </c>
      <c r="C79" s="5">
        <v>59711518.733543999</v>
      </c>
      <c r="D79" s="5">
        <v>419.86192419000002</v>
      </c>
      <c r="E79" s="5">
        <v>622703.04629900004</v>
      </c>
      <c r="F79" s="5">
        <v>1885.57587545</v>
      </c>
      <c r="G79" s="5">
        <v>2586082.0258419998</v>
      </c>
    </row>
    <row r="80" spans="1:7" x14ac:dyDescent="0.15">
      <c r="A80" s="3">
        <v>48060</v>
      </c>
      <c r="B80" s="5">
        <v>18624.07806417</v>
      </c>
      <c r="C80" s="5">
        <v>22378969.788538098</v>
      </c>
      <c r="D80" s="5">
        <v>0</v>
      </c>
      <c r="E80" s="5">
        <v>0</v>
      </c>
      <c r="F80" s="5">
        <v>0</v>
      </c>
      <c r="G80" s="5">
        <v>0</v>
      </c>
    </row>
    <row r="81" spans="1:7" x14ac:dyDescent="0.15">
      <c r="A81" s="3">
        <v>48071</v>
      </c>
      <c r="B81" s="5">
        <v>69933.600059939999</v>
      </c>
      <c r="C81" s="5">
        <v>150299393.02939099</v>
      </c>
      <c r="D81" s="5">
        <v>1649.7301745</v>
      </c>
      <c r="E81" s="5">
        <v>2650639.7490300001</v>
      </c>
      <c r="F81" s="5">
        <v>38582.188781999997</v>
      </c>
      <c r="G81" s="5">
        <v>42286007.165767998</v>
      </c>
    </row>
    <row r="82" spans="1:7" x14ac:dyDescent="0.15">
      <c r="A82" s="3">
        <v>48072</v>
      </c>
      <c r="B82" s="5">
        <v>1161.07536553</v>
      </c>
      <c r="C82" s="5">
        <v>602476.26068299997</v>
      </c>
      <c r="D82" s="5">
        <v>0</v>
      </c>
      <c r="E82" s="5">
        <v>0</v>
      </c>
      <c r="F82" s="5">
        <v>749.67404599999998</v>
      </c>
      <c r="G82" s="5">
        <v>149934.80919999999</v>
      </c>
    </row>
    <row r="83" spans="1:7" x14ac:dyDescent="0.15">
      <c r="A83" s="3">
        <v>48073</v>
      </c>
      <c r="B83" s="5">
        <v>30475.203180150002</v>
      </c>
      <c r="C83" s="5">
        <v>39480707.364711702</v>
      </c>
      <c r="D83" s="5">
        <v>166.17333504999999</v>
      </c>
      <c r="E83" s="5">
        <v>265877.33607999998</v>
      </c>
      <c r="F83" s="5">
        <v>4185.3747307000003</v>
      </c>
      <c r="G83" s="5">
        <v>4053202.8138600001</v>
      </c>
    </row>
    <row r="84" spans="1:7" x14ac:dyDescent="0.15">
      <c r="A84" s="3">
        <v>48074</v>
      </c>
      <c r="B84" s="5">
        <v>3824.54375742</v>
      </c>
      <c r="C84" s="5">
        <v>12398403.959084</v>
      </c>
      <c r="D84" s="5">
        <v>819.50188865999996</v>
      </c>
      <c r="E84" s="5">
        <v>901452.07752599998</v>
      </c>
      <c r="F84" s="5">
        <v>1207.5563577800001</v>
      </c>
      <c r="G84" s="5">
        <v>5443841.8123949999</v>
      </c>
    </row>
    <row r="85" spans="1:7" x14ac:dyDescent="0.15">
      <c r="A85" s="3">
        <v>48075</v>
      </c>
      <c r="B85" s="5">
        <v>5387.9010841999998</v>
      </c>
      <c r="C85" s="5">
        <v>23847585.893918999</v>
      </c>
      <c r="D85" s="5">
        <v>0</v>
      </c>
      <c r="E85" s="5">
        <v>0</v>
      </c>
      <c r="F85" s="5">
        <v>0</v>
      </c>
      <c r="G85" s="5">
        <v>0</v>
      </c>
    </row>
    <row r="86" spans="1:7" x14ac:dyDescent="0.15">
      <c r="A86" s="3">
        <v>48076</v>
      </c>
      <c r="B86" s="5">
        <v>13835.65505944</v>
      </c>
      <c r="C86" s="5">
        <v>19082152.1661922</v>
      </c>
      <c r="D86" s="5">
        <v>0</v>
      </c>
      <c r="E86" s="5">
        <v>0</v>
      </c>
      <c r="F86" s="5">
        <v>3151.3677484499999</v>
      </c>
      <c r="G86" s="5">
        <v>5756918.5645150002</v>
      </c>
    </row>
    <row r="87" spans="1:7" x14ac:dyDescent="0.15">
      <c r="A87" s="3">
        <v>48078</v>
      </c>
      <c r="B87" s="5">
        <v>7383.2169539699998</v>
      </c>
      <c r="C87" s="5">
        <v>3711692.5947539001</v>
      </c>
      <c r="D87" s="5">
        <v>0</v>
      </c>
      <c r="E87" s="5">
        <v>0</v>
      </c>
      <c r="F87" s="5">
        <v>5419.44877507</v>
      </c>
      <c r="G87" s="5">
        <v>2377210.3940899</v>
      </c>
    </row>
    <row r="88" spans="1:7" x14ac:dyDescent="0.15">
      <c r="A88" s="3">
        <v>48079</v>
      </c>
      <c r="B88" s="5">
        <v>30282.050601539999</v>
      </c>
      <c r="C88" s="5">
        <v>33459836.122221701</v>
      </c>
      <c r="D88" s="5">
        <v>1520.19433211</v>
      </c>
      <c r="E88" s="5">
        <v>1824233.198532</v>
      </c>
      <c r="F88" s="5">
        <v>12113.96354972</v>
      </c>
      <c r="G88" s="5">
        <v>12108303.732547</v>
      </c>
    </row>
    <row r="89" spans="1:7" x14ac:dyDescent="0.15">
      <c r="A89" s="3">
        <v>48080</v>
      </c>
      <c r="B89" s="5">
        <v>60440.162531729999</v>
      </c>
      <c r="C89" s="5">
        <v>82617917.731907398</v>
      </c>
      <c r="D89" s="5">
        <v>1074.06939167</v>
      </c>
      <c r="E89" s="5">
        <v>4598288.42435</v>
      </c>
      <c r="F89" s="5">
        <v>179.69889196</v>
      </c>
      <c r="G89" s="5">
        <v>225456.78958700001</v>
      </c>
    </row>
    <row r="90" spans="1:7" x14ac:dyDescent="0.15">
      <c r="A90" s="3">
        <v>48090</v>
      </c>
      <c r="B90" s="5">
        <v>8156.1855829200003</v>
      </c>
      <c r="C90" s="5">
        <v>66639759.991291001</v>
      </c>
      <c r="D90" s="5">
        <v>0</v>
      </c>
      <c r="E90" s="5">
        <v>0</v>
      </c>
      <c r="F90" s="5">
        <v>430.63441963000002</v>
      </c>
      <c r="G90" s="5">
        <v>215317.20981500001</v>
      </c>
    </row>
    <row r="91" spans="1:7" x14ac:dyDescent="0.15">
      <c r="A91" s="3">
        <v>48100</v>
      </c>
      <c r="B91" s="5">
        <v>43834.156557690003</v>
      </c>
      <c r="C91" s="5">
        <v>41376685.709652796</v>
      </c>
      <c r="D91" s="5">
        <v>263.82846582000002</v>
      </c>
      <c r="E91" s="5">
        <v>52765.693163999997</v>
      </c>
      <c r="F91" s="5">
        <v>40732.766708750001</v>
      </c>
      <c r="G91" s="5">
        <v>39323043.350649104</v>
      </c>
    </row>
    <row r="92" spans="1:7" x14ac:dyDescent="0.15">
      <c r="A92" s="3">
        <v>49010</v>
      </c>
      <c r="B92" s="5">
        <v>1986.45497679</v>
      </c>
      <c r="C92" s="5">
        <v>12993172.805779999</v>
      </c>
      <c r="D92" s="5">
        <v>0</v>
      </c>
      <c r="E92" s="5">
        <v>0</v>
      </c>
      <c r="F92" s="5">
        <v>0</v>
      </c>
      <c r="G92" s="5">
        <v>0</v>
      </c>
    </row>
    <row r="93" spans="1:7" x14ac:dyDescent="0.15">
      <c r="A93" s="3">
        <v>49030</v>
      </c>
      <c r="B93" s="5">
        <v>88030.059081369996</v>
      </c>
      <c r="C93" s="5">
        <v>109976034.367083</v>
      </c>
      <c r="D93" s="5">
        <v>0</v>
      </c>
      <c r="E93" s="5">
        <v>0</v>
      </c>
      <c r="F93" s="5">
        <v>71729.688291409999</v>
      </c>
      <c r="G93" s="5">
        <v>79249102.885978594</v>
      </c>
    </row>
    <row r="94" spans="1:7" x14ac:dyDescent="0.15">
      <c r="A94" s="3">
        <v>49040</v>
      </c>
      <c r="B94" s="5">
        <v>44342.670205100003</v>
      </c>
      <c r="C94" s="5">
        <v>84955184.474749893</v>
      </c>
      <c r="D94" s="5">
        <v>1029.25819961</v>
      </c>
      <c r="E94" s="5">
        <v>2058516.39922</v>
      </c>
      <c r="F94" s="5">
        <v>14624.078068749999</v>
      </c>
      <c r="G94" s="5">
        <v>42331325.7774655</v>
      </c>
    </row>
    <row r="95" spans="1:7" x14ac:dyDescent="0.15">
      <c r="A95" s="3">
        <v>51000</v>
      </c>
      <c r="B95" s="5">
        <v>1369.1064479300001</v>
      </c>
      <c r="C95" s="5">
        <v>5820161.4374399995</v>
      </c>
      <c r="D95" s="5">
        <v>0</v>
      </c>
      <c r="E95" s="5">
        <v>0</v>
      </c>
      <c r="F95" s="5">
        <v>0</v>
      </c>
      <c r="G95" s="5">
        <v>0</v>
      </c>
    </row>
    <row r="96" spans="1:7" x14ac:dyDescent="0.15">
      <c r="A96" s="3">
        <v>52010</v>
      </c>
      <c r="B96" s="5">
        <v>10985.94577563</v>
      </c>
      <c r="C96" s="5">
        <v>11523255.426647499</v>
      </c>
      <c r="D96" s="5">
        <v>0</v>
      </c>
      <c r="E96" s="5">
        <v>0</v>
      </c>
      <c r="F96" s="5">
        <v>10077.84637861</v>
      </c>
      <c r="G96" s="5">
        <v>11085631.016471</v>
      </c>
    </row>
    <row r="97" spans="1:7" x14ac:dyDescent="0.15">
      <c r="A97" s="3">
        <v>52020</v>
      </c>
      <c r="B97" s="5">
        <v>5185.4575014499997</v>
      </c>
      <c r="C97" s="5">
        <v>10974510.526615201</v>
      </c>
      <c r="D97" s="5">
        <v>0</v>
      </c>
      <c r="E97" s="5">
        <v>0</v>
      </c>
      <c r="F97" s="5">
        <v>0</v>
      </c>
      <c r="G97" s="5">
        <v>0</v>
      </c>
    </row>
    <row r="98" spans="1:7" x14ac:dyDescent="0.15">
      <c r="A98" s="3">
        <v>53001</v>
      </c>
      <c r="B98" s="5">
        <v>3395.07187905</v>
      </c>
      <c r="C98" s="5">
        <v>8655008.6982729994</v>
      </c>
      <c r="D98" s="5">
        <v>0</v>
      </c>
      <c r="E98" s="5">
        <v>0</v>
      </c>
      <c r="F98" s="5">
        <v>0</v>
      </c>
      <c r="G98" s="5">
        <v>0</v>
      </c>
    </row>
    <row r="99" spans="1:7" x14ac:dyDescent="0.15">
      <c r="A99" s="3">
        <v>53002</v>
      </c>
      <c r="B99" s="5">
        <v>16720.851249700001</v>
      </c>
      <c r="C99" s="5">
        <v>15108736.185099</v>
      </c>
      <c r="D99" s="5">
        <v>0</v>
      </c>
      <c r="E99" s="5">
        <v>0</v>
      </c>
      <c r="F99" s="5">
        <v>15910.92467264</v>
      </c>
      <c r="G99" s="5">
        <v>14217816.950332999</v>
      </c>
    </row>
    <row r="100" spans="1:7" x14ac:dyDescent="0.15">
      <c r="A100" s="3">
        <v>55000</v>
      </c>
      <c r="B100" s="5">
        <v>21820.162451579999</v>
      </c>
      <c r="C100" s="5">
        <v>40940026.416214101</v>
      </c>
      <c r="D100" s="5">
        <v>0</v>
      </c>
      <c r="E100" s="5">
        <v>0</v>
      </c>
      <c r="F100" s="5">
        <v>0</v>
      </c>
      <c r="G100" s="5">
        <v>0</v>
      </c>
    </row>
    <row r="101" spans="1:7" x14ac:dyDescent="0.15">
      <c r="A101" s="3">
        <v>56011</v>
      </c>
      <c r="B101" s="5">
        <v>114096.96279162999</v>
      </c>
      <c r="C101" s="5">
        <v>111307039.38243499</v>
      </c>
      <c r="D101" s="5">
        <v>3324.1059285400001</v>
      </c>
      <c r="E101" s="5">
        <v>8916903.1619639993</v>
      </c>
      <c r="F101" s="5">
        <v>35273.796216640003</v>
      </c>
      <c r="G101" s="5">
        <v>37065355.565076202</v>
      </c>
    </row>
    <row r="102" spans="1:7" x14ac:dyDescent="0.15">
      <c r="A102" s="3">
        <v>56012</v>
      </c>
      <c r="B102" s="5">
        <v>38511.125979420001</v>
      </c>
      <c r="C102" s="5">
        <v>49845176.811999999</v>
      </c>
      <c r="D102" s="5">
        <v>0</v>
      </c>
      <c r="E102" s="5">
        <v>0</v>
      </c>
      <c r="F102" s="5">
        <v>30339.22590686</v>
      </c>
      <c r="G102" s="5">
        <v>42874393.740817003</v>
      </c>
    </row>
    <row r="103" spans="1:7" x14ac:dyDescent="0.15">
      <c r="A103" s="3">
        <v>56020</v>
      </c>
      <c r="B103" s="5">
        <v>34594.1789422</v>
      </c>
      <c r="C103" s="5">
        <v>21080301.001264401</v>
      </c>
      <c r="D103" s="5">
        <v>0</v>
      </c>
      <c r="E103" s="5">
        <v>0</v>
      </c>
      <c r="F103" s="5">
        <v>32693.060703120002</v>
      </c>
      <c r="G103" s="5">
        <v>20575472.554782402</v>
      </c>
    </row>
    <row r="104" spans="1:7" x14ac:dyDescent="0.15">
      <c r="A104" s="3">
        <v>60002</v>
      </c>
      <c r="B104" s="5">
        <v>989.02846298999998</v>
      </c>
      <c r="C104" s="5">
        <v>1673891.5123409999</v>
      </c>
      <c r="D104" s="5">
        <v>0</v>
      </c>
      <c r="E104" s="5">
        <v>0</v>
      </c>
      <c r="F104" s="5">
        <v>709.99979486999996</v>
      </c>
      <c r="G104" s="5">
        <v>780999.77435700002</v>
      </c>
    </row>
    <row r="105" spans="1:7" x14ac:dyDescent="0.15">
      <c r="A105" s="3">
        <v>61000</v>
      </c>
      <c r="B105" s="5">
        <v>12468.3410972</v>
      </c>
      <c r="C105" s="5">
        <v>20035436.881168898</v>
      </c>
      <c r="D105" s="5">
        <v>689.71922567000001</v>
      </c>
      <c r="E105" s="5">
        <v>1103550.761072</v>
      </c>
      <c r="F105" s="5">
        <v>841.95480227999997</v>
      </c>
      <c r="G105" s="5">
        <v>2525864.4068399998</v>
      </c>
    </row>
    <row r="106" spans="1:7" x14ac:dyDescent="0.15">
      <c r="A106" s="3">
        <v>62000</v>
      </c>
      <c r="B106" s="5">
        <v>16012.206579690001</v>
      </c>
      <c r="C106" s="5">
        <v>60080867.963546999</v>
      </c>
      <c r="D106" s="5">
        <v>0</v>
      </c>
      <c r="E106" s="5">
        <v>0</v>
      </c>
      <c r="F106" s="5">
        <v>3501.93847168</v>
      </c>
      <c r="G106" s="5">
        <v>10950740.753559999</v>
      </c>
    </row>
    <row r="107" spans="1:7" x14ac:dyDescent="0.15">
      <c r="A107" s="3">
        <v>63000</v>
      </c>
      <c r="B107" s="5">
        <v>1509.80734699</v>
      </c>
      <c r="C107" s="5">
        <v>2819068.4637560002</v>
      </c>
      <c r="D107" s="5">
        <v>0</v>
      </c>
      <c r="E107" s="5">
        <v>0</v>
      </c>
      <c r="F107" s="5">
        <v>747.04765172999998</v>
      </c>
      <c r="G107" s="5">
        <v>149409.53034600001</v>
      </c>
    </row>
    <row r="108" spans="1:7" x14ac:dyDescent="0.15">
      <c r="A108" s="3">
        <v>64000</v>
      </c>
      <c r="B108" s="5">
        <v>24264.460560449999</v>
      </c>
      <c r="C108" s="5">
        <v>76092714.859616205</v>
      </c>
      <c r="D108" s="5">
        <v>0</v>
      </c>
      <c r="E108" s="5">
        <v>0</v>
      </c>
      <c r="F108" s="5">
        <v>0</v>
      </c>
      <c r="G108" s="5">
        <v>0</v>
      </c>
    </row>
    <row r="109" spans="1:7" x14ac:dyDescent="0.15">
      <c r="A109" s="3">
        <v>65000</v>
      </c>
      <c r="B109" s="5">
        <v>3364.1731746599999</v>
      </c>
      <c r="C109" s="5">
        <v>9401044.5154279992</v>
      </c>
      <c r="D109" s="5">
        <v>0</v>
      </c>
      <c r="E109" s="5">
        <v>0</v>
      </c>
      <c r="F109" s="5">
        <v>0</v>
      </c>
      <c r="G109" s="5">
        <v>0</v>
      </c>
    </row>
    <row r="110" spans="1:7" x14ac:dyDescent="0.15">
      <c r="A110" s="3">
        <v>66001</v>
      </c>
      <c r="B110" s="5">
        <v>384.74689145999997</v>
      </c>
      <c r="C110" s="5">
        <v>1538987.5658400001</v>
      </c>
      <c r="D110" s="5">
        <v>0</v>
      </c>
      <c r="E110" s="5">
        <v>0</v>
      </c>
      <c r="F110" s="5">
        <v>0</v>
      </c>
      <c r="G110" s="5">
        <v>0</v>
      </c>
    </row>
    <row r="111" spans="1:7" x14ac:dyDescent="0.15">
      <c r="A111" s="3">
        <v>66002</v>
      </c>
      <c r="B111" s="5">
        <v>6008.6754091299999</v>
      </c>
      <c r="C111" s="5">
        <v>14477947.0854182</v>
      </c>
      <c r="D111" s="5">
        <v>0</v>
      </c>
      <c r="E111" s="5">
        <v>0</v>
      </c>
      <c r="F111" s="5">
        <v>2161.7900423800002</v>
      </c>
      <c r="G111" s="5">
        <v>1461248.0438182</v>
      </c>
    </row>
    <row r="112" spans="1:7" x14ac:dyDescent="0.15">
      <c r="A112" s="3">
        <v>68000</v>
      </c>
      <c r="B112" s="5">
        <v>20997.589738530001</v>
      </c>
      <c r="C112" s="5">
        <v>52944374.901514001</v>
      </c>
      <c r="D112" s="5">
        <v>0</v>
      </c>
      <c r="E112" s="5">
        <v>0</v>
      </c>
      <c r="F112" s="5">
        <v>5830.0880362600001</v>
      </c>
      <c r="G112" s="5">
        <v>29854280.297175001</v>
      </c>
    </row>
    <row r="113" spans="1:7" x14ac:dyDescent="0.15">
      <c r="A113" s="3">
        <v>69000</v>
      </c>
      <c r="B113" s="5">
        <v>40792.603211989997</v>
      </c>
      <c r="C113" s="5">
        <v>230942600.54767099</v>
      </c>
      <c r="D113" s="5">
        <v>0</v>
      </c>
      <c r="E113" s="5">
        <v>0</v>
      </c>
      <c r="F113" s="5">
        <v>22074.445454060002</v>
      </c>
      <c r="G113" s="5">
        <v>113447967.73809101</v>
      </c>
    </row>
    <row r="114" spans="1:7" x14ac:dyDescent="0.15">
      <c r="A114" s="3">
        <v>70000</v>
      </c>
      <c r="B114" s="5">
        <v>2241.3038852899999</v>
      </c>
      <c r="C114" s="5">
        <v>17878155.134849999</v>
      </c>
      <c r="D114" s="5">
        <v>0</v>
      </c>
      <c r="E114" s="5">
        <v>0</v>
      </c>
      <c r="F114" s="5">
        <v>379.75721277000002</v>
      </c>
      <c r="G114" s="5">
        <v>0</v>
      </c>
    </row>
    <row r="115" spans="1:7" x14ac:dyDescent="0.15">
      <c r="A115" s="3">
        <v>71000</v>
      </c>
      <c r="B115" s="5">
        <v>9350.2243880999995</v>
      </c>
      <c r="C115" s="5">
        <v>18944643.007548001</v>
      </c>
      <c r="D115" s="5">
        <v>0</v>
      </c>
      <c r="E115" s="5">
        <v>0</v>
      </c>
      <c r="F115" s="5">
        <v>2383.8959429900001</v>
      </c>
      <c r="G115" s="5">
        <v>5602260.7472015005</v>
      </c>
    </row>
    <row r="116" spans="1:7" x14ac:dyDescent="0.15">
      <c r="A116" s="3">
        <v>73010</v>
      </c>
      <c r="B116" s="5">
        <v>5502.9626925299999</v>
      </c>
      <c r="C116" s="5">
        <v>11491084.741385501</v>
      </c>
      <c r="D116" s="5">
        <v>1134.7769415499999</v>
      </c>
      <c r="E116" s="5">
        <v>2496509.27141</v>
      </c>
      <c r="F116" s="5">
        <v>563.75858790999996</v>
      </c>
      <c r="G116" s="5">
        <v>451006.87032799999</v>
      </c>
    </row>
    <row r="117" spans="1:7" x14ac:dyDescent="0.15">
      <c r="A117" s="3">
        <v>74000</v>
      </c>
      <c r="B117" s="5">
        <v>6255.0659959200002</v>
      </c>
      <c r="C117" s="5">
        <v>9990147.6274672002</v>
      </c>
      <c r="D117" s="5">
        <v>0</v>
      </c>
      <c r="E117" s="5">
        <v>0</v>
      </c>
      <c r="F117" s="5">
        <v>5196.8023882199996</v>
      </c>
      <c r="G117" s="5">
        <v>8411880.6764672007</v>
      </c>
    </row>
    <row r="118" spans="1:7" x14ac:dyDescent="0.15">
      <c r="A118" s="3">
        <v>75000</v>
      </c>
      <c r="B118" s="5">
        <v>198.24597914</v>
      </c>
      <c r="C118" s="5">
        <v>286465.43985730002</v>
      </c>
      <c r="D118" s="5">
        <v>0</v>
      </c>
      <c r="E118" s="5">
        <v>0</v>
      </c>
      <c r="F118" s="5">
        <v>0</v>
      </c>
      <c r="G118" s="5">
        <v>0</v>
      </c>
    </row>
    <row r="119" spans="1:7" x14ac:dyDescent="0.15">
      <c r="A119" s="3">
        <v>77010</v>
      </c>
      <c r="B119" s="5">
        <v>1325.8406517999999</v>
      </c>
      <c r="C119" s="5">
        <v>1826926.3999950001</v>
      </c>
      <c r="D119" s="5">
        <v>0</v>
      </c>
      <c r="E119" s="5">
        <v>0</v>
      </c>
      <c r="F119" s="5">
        <v>238.91558886999999</v>
      </c>
      <c r="G119" s="5">
        <v>597288.972175</v>
      </c>
    </row>
    <row r="120" spans="1:7" x14ac:dyDescent="0.15">
      <c r="A120" s="3">
        <v>77020</v>
      </c>
      <c r="B120" s="5">
        <v>6171.2012066799998</v>
      </c>
      <c r="C120" s="5">
        <v>9409692.2916266508</v>
      </c>
      <c r="D120" s="5">
        <v>0</v>
      </c>
      <c r="E120" s="5">
        <v>0</v>
      </c>
      <c r="F120" s="5">
        <v>0</v>
      </c>
      <c r="G120" s="5">
        <v>0</v>
      </c>
    </row>
    <row r="121" spans="1:7" x14ac:dyDescent="0.15">
      <c r="A121" s="3">
        <v>78000</v>
      </c>
      <c r="B121" s="5">
        <v>40680.533632159997</v>
      </c>
      <c r="C121" s="5">
        <v>69469015.229033798</v>
      </c>
      <c r="D121" s="5">
        <v>0</v>
      </c>
      <c r="E121" s="5">
        <v>0</v>
      </c>
      <c r="F121" s="5">
        <v>643.89007230000004</v>
      </c>
      <c r="G121" s="5">
        <v>1931670.2169000001</v>
      </c>
    </row>
    <row r="122" spans="1:7" x14ac:dyDescent="0.15">
      <c r="A122" s="3">
        <v>79000</v>
      </c>
      <c r="B122" s="5">
        <v>2648.57065715</v>
      </c>
      <c r="C122" s="5">
        <v>5622827.3514700001</v>
      </c>
      <c r="D122" s="5">
        <v>0</v>
      </c>
      <c r="E122" s="5">
        <v>0</v>
      </c>
      <c r="F122" s="5">
        <v>0</v>
      </c>
      <c r="G122" s="5">
        <v>0</v>
      </c>
    </row>
    <row r="123" spans="1:7" x14ac:dyDescent="0.15">
      <c r="A123" s="3">
        <v>80000</v>
      </c>
      <c r="B123" s="5">
        <v>20511.135028870001</v>
      </c>
      <c r="C123" s="5">
        <v>32406579.997149501</v>
      </c>
      <c r="D123" s="5">
        <v>0</v>
      </c>
      <c r="E123" s="5">
        <v>0</v>
      </c>
      <c r="F123" s="5">
        <v>1422.0535961400001</v>
      </c>
      <c r="G123" s="5">
        <v>2153660.332744</v>
      </c>
    </row>
    <row r="124" spans="1:7" x14ac:dyDescent="0.15">
      <c r="A124" s="3">
        <v>81011</v>
      </c>
      <c r="B124" s="5">
        <v>29363.102320760001</v>
      </c>
      <c r="C124" s="5">
        <v>33974000.347624503</v>
      </c>
      <c r="D124" s="5">
        <v>0</v>
      </c>
      <c r="E124" s="5">
        <v>0</v>
      </c>
      <c r="F124" s="5">
        <v>2584.7216459400001</v>
      </c>
      <c r="G124" s="5">
        <v>1297333.3946519999</v>
      </c>
    </row>
    <row r="125" spans="1:7" x14ac:dyDescent="0.15">
      <c r="A125" s="3">
        <v>81012</v>
      </c>
      <c r="B125" s="5">
        <v>23200.76656185</v>
      </c>
      <c r="C125" s="5">
        <v>33520219.849869799</v>
      </c>
      <c r="D125" s="5">
        <v>0</v>
      </c>
      <c r="E125" s="5">
        <v>0</v>
      </c>
      <c r="F125" s="5">
        <v>0</v>
      </c>
      <c r="G125" s="5">
        <v>0</v>
      </c>
    </row>
    <row r="126" spans="1:7" x14ac:dyDescent="0.15">
      <c r="A126" s="3">
        <v>82001</v>
      </c>
      <c r="B126" s="5">
        <v>3316.13094353</v>
      </c>
      <c r="C126" s="5">
        <v>5199282.1215169998</v>
      </c>
      <c r="D126" s="5">
        <v>0</v>
      </c>
      <c r="E126" s="5">
        <v>0</v>
      </c>
      <c r="F126" s="5">
        <v>705.24458346999995</v>
      </c>
      <c r="G126" s="5">
        <v>2327307.1254509999</v>
      </c>
    </row>
    <row r="127" spans="1:7" x14ac:dyDescent="0.15">
      <c r="A127" s="3">
        <v>82002</v>
      </c>
      <c r="B127" s="5">
        <v>11019.08055603</v>
      </c>
      <c r="C127" s="5">
        <v>13327655.773696</v>
      </c>
      <c r="D127" s="5">
        <v>0</v>
      </c>
      <c r="E127" s="5">
        <v>0</v>
      </c>
      <c r="F127" s="5">
        <v>0</v>
      </c>
      <c r="G127" s="5">
        <v>0</v>
      </c>
    </row>
    <row r="128" spans="1:7" x14ac:dyDescent="0.15">
      <c r="A128" s="3">
        <v>82003</v>
      </c>
      <c r="B128" s="5">
        <v>1862.5554987099999</v>
      </c>
      <c r="C128" s="5">
        <v>609587.12791649997</v>
      </c>
      <c r="D128" s="5">
        <v>0</v>
      </c>
      <c r="E128" s="5">
        <v>0</v>
      </c>
      <c r="F128" s="5">
        <v>1099.0293766899999</v>
      </c>
      <c r="G128" s="5">
        <v>571410.82181550004</v>
      </c>
    </row>
    <row r="129" spans="1:7" x14ac:dyDescent="0.15">
      <c r="A129" s="3">
        <v>82009</v>
      </c>
      <c r="B129" s="5">
        <v>2057.4493235700002</v>
      </c>
      <c r="C129" s="5">
        <v>1614213.1954340001</v>
      </c>
      <c r="D129" s="5">
        <v>0</v>
      </c>
      <c r="E129" s="5">
        <v>0</v>
      </c>
      <c r="F129" s="5">
        <v>321.29027379000001</v>
      </c>
      <c r="G129" s="5">
        <v>289161.24641099997</v>
      </c>
    </row>
    <row r="130" spans="1:7" x14ac:dyDescent="0.15">
      <c r="A130" s="3">
        <v>84011</v>
      </c>
      <c r="B130" s="5">
        <v>10371.65650757</v>
      </c>
      <c r="C130" s="5">
        <v>117234641.5863</v>
      </c>
      <c r="D130" s="5">
        <v>0</v>
      </c>
      <c r="E130" s="5">
        <v>0</v>
      </c>
      <c r="F130" s="5">
        <v>0</v>
      </c>
      <c r="G130" s="5">
        <v>0</v>
      </c>
    </row>
    <row r="131" spans="1:7" x14ac:dyDescent="0.15">
      <c r="A131" s="3">
        <v>84012</v>
      </c>
      <c r="B131" s="5">
        <v>16030.846835419999</v>
      </c>
      <c r="C131" s="5">
        <v>67423582.811535105</v>
      </c>
      <c r="D131" s="5">
        <v>0</v>
      </c>
      <c r="E131" s="5">
        <v>0</v>
      </c>
      <c r="F131" s="5">
        <v>0</v>
      </c>
      <c r="G131" s="5">
        <v>0</v>
      </c>
    </row>
    <row r="132" spans="1:7" x14ac:dyDescent="0.15">
      <c r="A132" s="3">
        <v>84013</v>
      </c>
      <c r="B132" s="5">
        <v>125542.44584827</v>
      </c>
      <c r="C132" s="5">
        <v>284747126.85893101</v>
      </c>
      <c r="D132" s="5">
        <v>0</v>
      </c>
      <c r="E132" s="5">
        <v>0</v>
      </c>
      <c r="F132" s="5">
        <v>0</v>
      </c>
      <c r="G132" s="5">
        <v>0</v>
      </c>
    </row>
    <row r="133" spans="1:7" x14ac:dyDescent="0.15">
      <c r="A133" s="3">
        <v>84014</v>
      </c>
      <c r="B133" s="5">
        <v>7828.5242641000004</v>
      </c>
      <c r="C133" s="5">
        <v>30583327.284688</v>
      </c>
      <c r="D133" s="5">
        <v>0</v>
      </c>
      <c r="E133" s="5">
        <v>0</v>
      </c>
      <c r="F133" s="5">
        <v>0</v>
      </c>
      <c r="G133" s="5">
        <v>0</v>
      </c>
    </row>
    <row r="134" spans="1:7" x14ac:dyDescent="0.15">
      <c r="A134" s="3">
        <v>84015</v>
      </c>
      <c r="B134" s="5">
        <v>5092.6716388000004</v>
      </c>
      <c r="C134" s="5">
        <v>67940549.787469998</v>
      </c>
      <c r="D134" s="5">
        <v>0</v>
      </c>
      <c r="E134" s="5">
        <v>0</v>
      </c>
      <c r="F134" s="5">
        <v>0</v>
      </c>
      <c r="G134" s="5">
        <v>0</v>
      </c>
    </row>
    <row r="135" spans="1:7" x14ac:dyDescent="0.15">
      <c r="A135" s="3">
        <v>84016</v>
      </c>
      <c r="B135" s="5">
        <v>49748.887963820001</v>
      </c>
      <c r="C135" s="5">
        <v>468602484.368339</v>
      </c>
      <c r="D135" s="5">
        <v>0</v>
      </c>
      <c r="E135" s="5">
        <v>0</v>
      </c>
      <c r="F135" s="5">
        <v>0</v>
      </c>
      <c r="G135" s="5">
        <v>0</v>
      </c>
    </row>
    <row r="136" spans="1:7" x14ac:dyDescent="0.15">
      <c r="A136" s="3">
        <v>84017</v>
      </c>
      <c r="B136" s="5">
        <v>6217.3870652599999</v>
      </c>
      <c r="C136" s="5">
        <v>13396414.113019099</v>
      </c>
      <c r="D136" s="5">
        <v>0</v>
      </c>
      <c r="E136" s="5">
        <v>0</v>
      </c>
      <c r="F136" s="5">
        <v>0</v>
      </c>
      <c r="G136" s="5">
        <v>0</v>
      </c>
    </row>
    <row r="137" spans="1:7" x14ac:dyDescent="0.15">
      <c r="A137" s="3">
        <v>84020</v>
      </c>
      <c r="B137" s="5">
        <v>1050.60927728</v>
      </c>
      <c r="C137" s="5">
        <v>3650167.4733790001</v>
      </c>
      <c r="D137" s="5">
        <v>0</v>
      </c>
      <c r="E137" s="5">
        <v>0</v>
      </c>
      <c r="F137" s="5">
        <v>0</v>
      </c>
      <c r="G137" s="5">
        <v>0</v>
      </c>
    </row>
    <row r="138" spans="1:7" x14ac:dyDescent="0.15">
      <c r="A138" s="3">
        <v>85011</v>
      </c>
      <c r="B138" s="5">
        <v>4914.1635792899997</v>
      </c>
      <c r="C138" s="5">
        <v>5276336.54379375</v>
      </c>
      <c r="D138" s="5">
        <v>0</v>
      </c>
      <c r="E138" s="5">
        <v>0</v>
      </c>
      <c r="F138" s="5">
        <v>0</v>
      </c>
      <c r="G138" s="5">
        <v>0</v>
      </c>
    </row>
    <row r="139" spans="1:7" x14ac:dyDescent="0.15">
      <c r="A139" s="3">
        <v>85012</v>
      </c>
      <c r="B139" s="5">
        <v>104913.56925359</v>
      </c>
      <c r="C139" s="5">
        <v>244636162.91699299</v>
      </c>
      <c r="D139" s="5">
        <v>0</v>
      </c>
      <c r="E139" s="5">
        <v>0</v>
      </c>
      <c r="F139" s="5">
        <v>1632.4814078300001</v>
      </c>
      <c r="G139" s="5">
        <v>3917955.378792</v>
      </c>
    </row>
    <row r="140" spans="1:7" x14ac:dyDescent="0.15">
      <c r="A140" s="3">
        <v>85013</v>
      </c>
      <c r="B140" s="5">
        <v>46332.570758709997</v>
      </c>
      <c r="C140" s="5">
        <v>175195137.13409799</v>
      </c>
      <c r="D140" s="5">
        <v>0</v>
      </c>
      <c r="E140" s="5">
        <v>0</v>
      </c>
      <c r="F140" s="5">
        <v>0</v>
      </c>
      <c r="G140" s="5">
        <v>0</v>
      </c>
    </row>
    <row r="141" spans="1:7" x14ac:dyDescent="0.15">
      <c r="A141" s="3">
        <v>85014</v>
      </c>
      <c r="B141" s="5">
        <v>12313.495203930001</v>
      </c>
      <c r="C141" s="5">
        <v>46892105.686049499</v>
      </c>
      <c r="D141" s="5">
        <v>0</v>
      </c>
      <c r="E141" s="5">
        <v>0</v>
      </c>
      <c r="F141" s="5">
        <v>0</v>
      </c>
      <c r="G141" s="5">
        <v>0</v>
      </c>
    </row>
    <row r="142" spans="1:7" x14ac:dyDescent="0.15">
      <c r="A142" s="3">
        <v>85029</v>
      </c>
      <c r="B142" s="5">
        <v>13931.84934984</v>
      </c>
      <c r="C142" s="5">
        <v>24114308.151455</v>
      </c>
      <c r="D142" s="5">
        <v>0</v>
      </c>
      <c r="E142" s="5">
        <v>0</v>
      </c>
      <c r="F142" s="5">
        <v>7774.5596551199997</v>
      </c>
      <c r="G142" s="5">
        <v>11313827.031011</v>
      </c>
    </row>
    <row r="143" spans="1:7" x14ac:dyDescent="0.15">
      <c r="A143" s="3">
        <v>86001</v>
      </c>
      <c r="B143" s="5">
        <v>82029.711642209993</v>
      </c>
      <c r="C143" s="5">
        <v>312275219.61928701</v>
      </c>
      <c r="D143" s="5">
        <v>0</v>
      </c>
      <c r="E143" s="5">
        <v>0</v>
      </c>
      <c r="F143" s="5">
        <v>2225.85383284</v>
      </c>
      <c r="G143" s="5">
        <v>66775614.985200003</v>
      </c>
    </row>
    <row r="144" spans="1:7" x14ac:dyDescent="0.15">
      <c r="A144" s="3">
        <v>86002</v>
      </c>
      <c r="B144" s="5">
        <v>44166.19085888</v>
      </c>
      <c r="C144" s="5">
        <v>125439884.694114</v>
      </c>
      <c r="D144" s="5">
        <v>1816.52133065</v>
      </c>
      <c r="E144" s="5">
        <v>18874495.872706998</v>
      </c>
      <c r="F144" s="5">
        <v>0</v>
      </c>
      <c r="G144" s="5">
        <v>0</v>
      </c>
    </row>
    <row r="145" spans="1:7" x14ac:dyDescent="0.15">
      <c r="A145" s="3">
        <v>86003</v>
      </c>
      <c r="B145" s="5">
        <v>7057.7619958499999</v>
      </c>
      <c r="C145" s="5">
        <v>14182038.562781001</v>
      </c>
      <c r="D145" s="5">
        <v>0</v>
      </c>
      <c r="E145" s="5">
        <v>0</v>
      </c>
      <c r="F145" s="5">
        <v>0</v>
      </c>
      <c r="G145" s="5">
        <v>0</v>
      </c>
    </row>
    <row r="146" spans="1:7" x14ac:dyDescent="0.15">
      <c r="A146" s="3">
        <v>86004</v>
      </c>
      <c r="B146" s="5">
        <v>17359.110554179999</v>
      </c>
      <c r="C146" s="5">
        <v>40254612.811870001</v>
      </c>
      <c r="D146" s="5">
        <v>0</v>
      </c>
      <c r="E146" s="5">
        <v>0</v>
      </c>
      <c r="F146" s="5">
        <v>9274.8385730200007</v>
      </c>
      <c r="G146" s="5">
        <v>21500101.802365001</v>
      </c>
    </row>
    <row r="147" spans="1:7" x14ac:dyDescent="0.15">
      <c r="A147" s="3">
        <v>86009</v>
      </c>
      <c r="B147" s="5">
        <v>1514.9400671999999</v>
      </c>
      <c r="C147" s="5">
        <v>1314724.214191</v>
      </c>
      <c r="D147" s="5">
        <v>0</v>
      </c>
      <c r="E147" s="5">
        <v>0</v>
      </c>
      <c r="F147" s="5">
        <v>953.61379165999995</v>
      </c>
      <c r="G147" s="5">
        <v>697265.31109700003</v>
      </c>
    </row>
    <row r="148" spans="1:7" x14ac:dyDescent="0.15">
      <c r="A148" s="3">
        <v>87000</v>
      </c>
      <c r="B148" s="5">
        <v>5671.4569283800001</v>
      </c>
      <c r="C148" s="5">
        <v>10416780.159673</v>
      </c>
      <c r="D148" s="5">
        <v>0</v>
      </c>
      <c r="E148" s="5">
        <v>0</v>
      </c>
      <c r="F148" s="5">
        <v>0</v>
      </c>
      <c r="G148" s="5">
        <v>0</v>
      </c>
    </row>
    <row r="149" spans="1:7" x14ac:dyDescent="0.15">
      <c r="A149" s="3">
        <v>90000</v>
      </c>
      <c r="B149" s="5">
        <v>5740.3199735799999</v>
      </c>
      <c r="C149" s="5">
        <v>8485718.5394030008</v>
      </c>
      <c r="D149" s="5">
        <v>0</v>
      </c>
      <c r="E149" s="5">
        <v>0</v>
      </c>
      <c r="F149" s="5">
        <v>2579.7361176300001</v>
      </c>
      <c r="G149" s="5">
        <v>3367267.853232</v>
      </c>
    </row>
    <row r="150" spans="1:7" x14ac:dyDescent="0.15">
      <c r="A150" s="3">
        <v>92000</v>
      </c>
      <c r="B150" s="5">
        <v>10563.087550460001</v>
      </c>
      <c r="C150" s="5">
        <v>9718618.4078681506</v>
      </c>
      <c r="D150" s="5">
        <v>0</v>
      </c>
      <c r="E150" s="5">
        <v>0</v>
      </c>
      <c r="F150" s="5">
        <v>4411.31382459</v>
      </c>
      <c r="G150" s="5">
        <v>3685468.7928490001</v>
      </c>
    </row>
    <row r="151" spans="1:7" x14ac:dyDescent="0.15">
      <c r="A151" s="3">
        <v>93011</v>
      </c>
      <c r="B151" s="5">
        <v>1555.56826968</v>
      </c>
      <c r="C151" s="5">
        <v>1866681.923616</v>
      </c>
      <c r="D151" s="5">
        <v>0</v>
      </c>
      <c r="E151" s="5">
        <v>0</v>
      </c>
      <c r="F151" s="5">
        <v>0</v>
      </c>
      <c r="G151" s="5">
        <v>0</v>
      </c>
    </row>
    <row r="152" spans="1:7" x14ac:dyDescent="0.15">
      <c r="A152" s="3">
        <v>93012</v>
      </c>
      <c r="B152" s="5">
        <v>9737.1149375599998</v>
      </c>
      <c r="C152" s="5">
        <v>18717934.9210812</v>
      </c>
      <c r="D152" s="5">
        <v>0</v>
      </c>
      <c r="E152" s="5">
        <v>0</v>
      </c>
      <c r="F152" s="5">
        <v>1103.87694104</v>
      </c>
      <c r="G152" s="5">
        <v>2613924.7639850001</v>
      </c>
    </row>
    <row r="153" spans="1:7" x14ac:dyDescent="0.15">
      <c r="A153" s="3">
        <v>93020</v>
      </c>
      <c r="B153" s="5">
        <v>544.44835421000005</v>
      </c>
      <c r="C153" s="5">
        <v>1088896.70842</v>
      </c>
      <c r="D153" s="5">
        <v>0</v>
      </c>
      <c r="E153" s="5">
        <v>0</v>
      </c>
      <c r="F153" s="5">
        <v>544.44835421000005</v>
      </c>
      <c r="G153" s="5">
        <v>1088896.70842</v>
      </c>
    </row>
    <row r="154" spans="1:7" x14ac:dyDescent="0.15">
      <c r="A154" s="3">
        <v>94010</v>
      </c>
      <c r="B154" s="5">
        <v>538.18767778999995</v>
      </c>
      <c r="C154" s="5">
        <v>1076375.35558</v>
      </c>
      <c r="D154" s="5">
        <v>0</v>
      </c>
      <c r="E154" s="5">
        <v>0</v>
      </c>
      <c r="F154" s="5">
        <v>0</v>
      </c>
      <c r="G154" s="5">
        <v>0</v>
      </c>
    </row>
    <row r="155" spans="1:7" x14ac:dyDescent="0.15">
      <c r="A155" s="3">
        <v>94020</v>
      </c>
      <c r="B155" s="5">
        <v>5157.8864746899999</v>
      </c>
      <c r="C155" s="5">
        <v>46535432.161307901</v>
      </c>
      <c r="D155" s="5">
        <v>0</v>
      </c>
      <c r="E155" s="5">
        <v>0</v>
      </c>
      <c r="F155" s="5">
        <v>0</v>
      </c>
      <c r="G155" s="5">
        <v>0</v>
      </c>
    </row>
    <row r="156" spans="1:7" x14ac:dyDescent="0.15">
      <c r="A156" s="3">
        <v>94091</v>
      </c>
      <c r="B156" s="5">
        <v>5462.2190816900002</v>
      </c>
      <c r="C156" s="5">
        <v>12706521.619742</v>
      </c>
      <c r="D156" s="5">
        <v>0</v>
      </c>
      <c r="E156" s="5">
        <v>0</v>
      </c>
      <c r="F156" s="5">
        <v>3410.2204004700002</v>
      </c>
      <c r="G156" s="5">
        <v>3128731.2788419998</v>
      </c>
    </row>
    <row r="157" spans="1:7" x14ac:dyDescent="0.15">
      <c r="A157" s="3">
        <v>94099</v>
      </c>
      <c r="B157" s="5">
        <v>801.31676009</v>
      </c>
      <c r="C157" s="5">
        <v>4492850.3441359997</v>
      </c>
      <c r="D157" s="5">
        <v>0</v>
      </c>
      <c r="E157" s="5">
        <v>0</v>
      </c>
      <c r="F157" s="5">
        <v>0</v>
      </c>
      <c r="G157" s="5">
        <v>0</v>
      </c>
    </row>
    <row r="158" spans="1:7" x14ac:dyDescent="0.15">
      <c r="A158" s="3">
        <v>95010</v>
      </c>
      <c r="B158" s="5">
        <v>6024.9117822199996</v>
      </c>
      <c r="C158" s="5">
        <v>6828885.5208240002</v>
      </c>
      <c r="D158" s="5">
        <v>0</v>
      </c>
      <c r="E158" s="5">
        <v>0</v>
      </c>
      <c r="F158" s="5">
        <v>3979.86524839</v>
      </c>
      <c r="G158" s="5">
        <v>5220505.1843029996</v>
      </c>
    </row>
    <row r="159" spans="1:7" x14ac:dyDescent="0.15">
      <c r="A159" s="3">
        <v>95030</v>
      </c>
      <c r="B159" s="5">
        <v>21182.24939271</v>
      </c>
      <c r="C159" s="5">
        <v>28378490.069347002</v>
      </c>
      <c r="D159" s="5">
        <v>0</v>
      </c>
      <c r="E159" s="5">
        <v>0</v>
      </c>
      <c r="F159" s="5">
        <v>15171.107314110001</v>
      </c>
      <c r="G159" s="5">
        <v>18538434.323104002</v>
      </c>
    </row>
    <row r="160" spans="1:7" x14ac:dyDescent="0.15">
      <c r="A160" s="3">
        <v>96010</v>
      </c>
      <c r="B160" s="5">
        <v>6759.2767367099996</v>
      </c>
      <c r="C160" s="5">
        <v>6472002.4296421204</v>
      </c>
      <c r="D160" s="5">
        <v>0</v>
      </c>
      <c r="E160" s="5">
        <v>0</v>
      </c>
      <c r="F160" s="5">
        <v>1354.1325297200001</v>
      </c>
      <c r="G160" s="5">
        <v>197703.34933912</v>
      </c>
    </row>
    <row r="161" spans="1:7" x14ac:dyDescent="0.15">
      <c r="A161" s="3">
        <v>96020</v>
      </c>
      <c r="B161" s="5">
        <v>93690.333685959995</v>
      </c>
      <c r="C161" s="5">
        <v>92458992.286556199</v>
      </c>
      <c r="D161" s="5">
        <v>3109.7387098899999</v>
      </c>
      <c r="E161" s="5">
        <v>4417966.6436970001</v>
      </c>
      <c r="F161" s="5">
        <v>83592.631988010005</v>
      </c>
      <c r="G161" s="5">
        <v>75046897.816639796</v>
      </c>
    </row>
    <row r="162" spans="1:7" x14ac:dyDescent="0.15">
      <c r="A162" s="3">
        <v>96030</v>
      </c>
      <c r="B162" s="5">
        <v>8520.7122399599994</v>
      </c>
      <c r="C162" s="5">
        <v>10767295.151649401</v>
      </c>
      <c r="D162" s="5">
        <v>0</v>
      </c>
      <c r="E162" s="5">
        <v>0</v>
      </c>
      <c r="F162" s="5">
        <v>0</v>
      </c>
      <c r="G162" s="5">
        <v>0</v>
      </c>
    </row>
    <row r="163" spans="1:7" x14ac:dyDescent="0.15">
      <c r="A163" s="3">
        <v>96090</v>
      </c>
      <c r="B163" s="5">
        <v>6435.0112802000003</v>
      </c>
      <c r="C163" s="5">
        <v>12773724.584625199</v>
      </c>
      <c r="D163" s="5">
        <v>0</v>
      </c>
      <c r="E163" s="5">
        <v>0</v>
      </c>
      <c r="F163" s="5">
        <v>3278.28450862</v>
      </c>
      <c r="G163" s="5">
        <v>7209645.1912730001</v>
      </c>
    </row>
    <row r="164" spans="1:7" x14ac:dyDescent="0.15">
      <c r="A164" s="3">
        <v>97000</v>
      </c>
      <c r="B164" s="5">
        <v>167730.08708252999</v>
      </c>
      <c r="C164" s="5">
        <v>114766161.990582</v>
      </c>
      <c r="D164" s="5">
        <v>0</v>
      </c>
      <c r="E164" s="5">
        <v>0</v>
      </c>
      <c r="F164" s="5">
        <v>0</v>
      </c>
      <c r="G164" s="5">
        <v>0</v>
      </c>
    </row>
    <row r="165" spans="1:7" x14ac:dyDescent="0.15">
      <c r="A165" s="10" t="s">
        <v>25</v>
      </c>
      <c r="B165" s="12">
        <f>SUM(B2:B164)</f>
        <v>3173887.8244981305</v>
      </c>
      <c r="C165" s="12">
        <f t="shared" ref="C165:G165" si="0">SUM(C2:C164)</f>
        <v>5578194280.2969704</v>
      </c>
      <c r="D165" s="12">
        <f t="shared" si="0"/>
        <v>28897.989620890003</v>
      </c>
      <c r="E165" s="12">
        <f t="shared" si="0"/>
        <v>80856614.238627002</v>
      </c>
      <c r="F165" s="12">
        <f t="shared" si="0"/>
        <v>1063571.5051977602</v>
      </c>
      <c r="G165" s="12">
        <f t="shared" si="0"/>
        <v>2616023756.7774706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9"/>
  <sheetViews>
    <sheetView topLeftCell="A153" zoomScale="160" zoomScaleNormal="160" workbookViewId="0">
      <selection activeCell="A179" sqref="A179:G179"/>
    </sheetView>
  </sheetViews>
  <sheetFormatPr baseColWidth="10" defaultColWidth="11.5" defaultRowHeight="13" x14ac:dyDescent="0.15"/>
  <cols>
    <col min="1" max="1" width="6.33203125" customWidth="1"/>
    <col min="2" max="3" width="18" customWidth="1"/>
    <col min="4" max="4" width="25.6640625" customWidth="1"/>
    <col min="5" max="5" width="23.5" customWidth="1"/>
    <col min="6" max="6" width="26.5" customWidth="1"/>
    <col min="7" max="7" width="25.83203125" customWidth="1"/>
  </cols>
  <sheetData>
    <row r="1" spans="1:7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s="3">
        <v>0</v>
      </c>
      <c r="B2" s="5">
        <v>7334.3717072400004</v>
      </c>
      <c r="C2" s="5">
        <v>8902396.7255940009</v>
      </c>
      <c r="D2" s="5">
        <v>0</v>
      </c>
      <c r="E2" s="5">
        <v>0</v>
      </c>
      <c r="F2" s="5">
        <v>4785.22194898</v>
      </c>
      <c r="G2" s="5">
        <v>5939074.8745320002</v>
      </c>
    </row>
    <row r="3" spans="1:7" x14ac:dyDescent="0.15">
      <c r="A3" s="3">
        <v>1102</v>
      </c>
      <c r="B3" s="5">
        <v>59903.420459909998</v>
      </c>
      <c r="C3" s="5">
        <v>20696909.1446357</v>
      </c>
      <c r="D3" s="5">
        <v>153.90934804</v>
      </c>
      <c r="E3" s="5">
        <v>15390.934804</v>
      </c>
      <c r="F3" s="5">
        <v>41794.924417679998</v>
      </c>
      <c r="G3" s="5">
        <v>14660284.134105099</v>
      </c>
    </row>
    <row r="4" spans="1:7" x14ac:dyDescent="0.15">
      <c r="A4" s="3">
        <v>1103</v>
      </c>
      <c r="B4" s="5">
        <v>263.40868695</v>
      </c>
      <c r="C4" s="5">
        <v>395113.030425</v>
      </c>
      <c r="D4" s="5">
        <v>0</v>
      </c>
      <c r="E4" s="5">
        <v>0</v>
      </c>
      <c r="F4" s="5">
        <v>0</v>
      </c>
      <c r="G4" s="5">
        <v>0</v>
      </c>
    </row>
    <row r="5" spans="1:7" x14ac:dyDescent="0.15">
      <c r="A5" s="3">
        <v>1105</v>
      </c>
      <c r="B5" s="5">
        <v>33593.480292239998</v>
      </c>
      <c r="C5" s="5">
        <v>49326486.1060206</v>
      </c>
      <c r="D5" s="5">
        <v>0</v>
      </c>
      <c r="E5" s="5">
        <v>0</v>
      </c>
      <c r="F5" s="5">
        <v>1707.4998417199999</v>
      </c>
      <c r="G5" s="5">
        <v>636848.076137</v>
      </c>
    </row>
    <row r="6" spans="1:7" x14ac:dyDescent="0.15">
      <c r="A6" s="3">
        <v>1108</v>
      </c>
      <c r="B6" s="5">
        <v>32765.149044680002</v>
      </c>
      <c r="C6" s="5">
        <v>15875869.916389501</v>
      </c>
      <c r="D6" s="5">
        <v>0</v>
      </c>
      <c r="E6" s="5">
        <v>0</v>
      </c>
      <c r="F6" s="5">
        <v>23727.862110049999</v>
      </c>
      <c r="G6" s="5">
        <v>12784728.272465</v>
      </c>
    </row>
    <row r="7" spans="1:7" x14ac:dyDescent="0.15">
      <c r="A7" s="3">
        <v>1109</v>
      </c>
      <c r="B7" s="5">
        <v>77469.835504150004</v>
      </c>
      <c r="C7" s="5">
        <v>22822219.6041141</v>
      </c>
      <c r="D7" s="5">
        <v>0</v>
      </c>
      <c r="E7" s="5">
        <v>0</v>
      </c>
      <c r="F7" s="5">
        <v>51125.924659130003</v>
      </c>
      <c r="G7" s="5">
        <v>15824238.275637001</v>
      </c>
    </row>
    <row r="8" spans="1:7" x14ac:dyDescent="0.15">
      <c r="A8" s="3">
        <v>1110</v>
      </c>
      <c r="B8" s="5">
        <v>23410.735342619999</v>
      </c>
      <c r="C8" s="5">
        <v>11777867.966731699</v>
      </c>
      <c r="D8" s="5">
        <v>0</v>
      </c>
      <c r="E8" s="5">
        <v>0</v>
      </c>
      <c r="F8" s="5">
        <v>14351.295238950001</v>
      </c>
      <c r="G8" s="5">
        <v>8706454.5345297009</v>
      </c>
    </row>
    <row r="9" spans="1:7" x14ac:dyDescent="0.15">
      <c r="A9" s="3">
        <v>1111</v>
      </c>
      <c r="B9" s="5">
        <v>2198.01911432</v>
      </c>
      <c r="C9" s="5">
        <v>2249547.5759465001</v>
      </c>
      <c r="D9" s="5">
        <v>0</v>
      </c>
      <c r="E9" s="5">
        <v>0</v>
      </c>
      <c r="F9" s="5">
        <v>2198.01911432</v>
      </c>
      <c r="G9" s="5">
        <v>2249547.5759465001</v>
      </c>
    </row>
    <row r="10" spans="1:7" x14ac:dyDescent="0.15">
      <c r="A10" s="3">
        <v>1112</v>
      </c>
      <c r="B10" s="5">
        <v>293.56401774</v>
      </c>
      <c r="C10" s="5">
        <v>704553.64257599995</v>
      </c>
      <c r="D10" s="5">
        <v>0</v>
      </c>
      <c r="E10" s="5">
        <v>0</v>
      </c>
      <c r="F10" s="5">
        <v>0</v>
      </c>
      <c r="G10" s="5">
        <v>0</v>
      </c>
    </row>
    <row r="11" spans="1:7" x14ac:dyDescent="0.15">
      <c r="A11" s="3">
        <v>1115</v>
      </c>
      <c r="B11" s="5">
        <v>7871.6391373699998</v>
      </c>
      <c r="C11" s="5">
        <v>14443199.045088001</v>
      </c>
      <c r="D11" s="5">
        <v>0</v>
      </c>
      <c r="E11" s="5">
        <v>0</v>
      </c>
      <c r="F11" s="5">
        <v>1397.71902864</v>
      </c>
      <c r="G11" s="5">
        <v>349429.75715999998</v>
      </c>
    </row>
    <row r="12" spans="1:7" x14ac:dyDescent="0.15">
      <c r="A12" s="3">
        <v>1116</v>
      </c>
      <c r="B12" s="5">
        <v>16565.727447689998</v>
      </c>
      <c r="C12" s="5">
        <v>12374443.353936</v>
      </c>
      <c r="D12" s="5">
        <v>0</v>
      </c>
      <c r="E12" s="5">
        <v>0</v>
      </c>
      <c r="F12" s="5">
        <v>9236.3407419499999</v>
      </c>
      <c r="G12" s="5">
        <v>6821758.7944639996</v>
      </c>
    </row>
    <row r="13" spans="1:7" x14ac:dyDescent="0.15">
      <c r="A13" s="3">
        <v>1117</v>
      </c>
      <c r="B13" s="5">
        <v>19821.724175849999</v>
      </c>
      <c r="C13" s="5">
        <v>27195450.917419501</v>
      </c>
      <c r="D13" s="5">
        <v>220.55465799999999</v>
      </c>
      <c r="E13" s="5">
        <v>441109316</v>
      </c>
      <c r="F13" s="5">
        <v>7293.3176739199998</v>
      </c>
      <c r="G13" s="5">
        <v>6062890.7380499998</v>
      </c>
    </row>
    <row r="14" spans="1:7" x14ac:dyDescent="0.15">
      <c r="A14" s="3">
        <v>1119</v>
      </c>
      <c r="B14" s="5">
        <v>11767.57672508</v>
      </c>
      <c r="C14" s="5">
        <v>8058155.8017814998</v>
      </c>
      <c r="D14" s="5">
        <v>0</v>
      </c>
      <c r="E14" s="5">
        <v>0</v>
      </c>
      <c r="F14" s="5">
        <v>6177.8973083700002</v>
      </c>
      <c r="G14" s="5">
        <v>3297001.9274614998</v>
      </c>
    </row>
    <row r="15" spans="1:7" x14ac:dyDescent="0.15">
      <c r="A15" s="3">
        <v>1201</v>
      </c>
      <c r="B15" s="5">
        <v>24821.044867889999</v>
      </c>
      <c r="C15" s="5">
        <v>23027860.3201221</v>
      </c>
      <c r="D15" s="5">
        <v>327.27742389000002</v>
      </c>
      <c r="E15" s="5">
        <v>327277.42388999998</v>
      </c>
      <c r="F15" s="5">
        <v>6855.7028510800001</v>
      </c>
      <c r="G15" s="5">
        <v>6579664.7788495002</v>
      </c>
    </row>
    <row r="16" spans="1:7" x14ac:dyDescent="0.15">
      <c r="A16" s="3">
        <v>1203</v>
      </c>
      <c r="B16" s="5">
        <v>5358.1895179800003</v>
      </c>
      <c r="C16" s="5">
        <v>8863587.6760671996</v>
      </c>
      <c r="D16" s="5">
        <v>0</v>
      </c>
      <c r="E16" s="5">
        <v>0</v>
      </c>
      <c r="F16" s="5">
        <v>3758.4463743299998</v>
      </c>
      <c r="G16" s="5">
        <v>2504268.4860565001</v>
      </c>
    </row>
    <row r="17" spans="1:7" x14ac:dyDescent="0.15">
      <c r="A17" s="3">
        <v>1204</v>
      </c>
      <c r="B17" s="5">
        <v>2141.7126704900002</v>
      </c>
      <c r="C17" s="5">
        <v>1317516.295252</v>
      </c>
      <c r="D17" s="5">
        <v>0</v>
      </c>
      <c r="E17" s="5">
        <v>0</v>
      </c>
      <c r="F17" s="5">
        <v>2141.7126704900002</v>
      </c>
      <c r="G17" s="5">
        <v>1317516.295252</v>
      </c>
    </row>
    <row r="18" spans="1:7" x14ac:dyDescent="0.15">
      <c r="A18" s="3">
        <v>1205</v>
      </c>
      <c r="B18" s="5">
        <v>10773.3642459</v>
      </c>
      <c r="C18" s="5">
        <v>9058846.6318488494</v>
      </c>
      <c r="D18" s="5">
        <v>0</v>
      </c>
      <c r="E18" s="5">
        <v>0</v>
      </c>
      <c r="F18" s="5">
        <v>2615.2956444599999</v>
      </c>
      <c r="G18" s="5">
        <v>1697480.349868</v>
      </c>
    </row>
    <row r="19" spans="1:7" x14ac:dyDescent="0.15">
      <c r="A19" s="3">
        <v>1209</v>
      </c>
      <c r="B19" s="5">
        <v>442.53374436000001</v>
      </c>
      <c r="C19" s="5">
        <v>354026.99548799999</v>
      </c>
      <c r="D19" s="5">
        <v>0</v>
      </c>
      <c r="E19" s="5">
        <v>0</v>
      </c>
      <c r="F19" s="5">
        <v>442.53374436000001</v>
      </c>
      <c r="G19" s="5">
        <v>354026.99548799999</v>
      </c>
    </row>
    <row r="20" spans="1:7" x14ac:dyDescent="0.15">
      <c r="A20" s="3">
        <v>1401</v>
      </c>
      <c r="B20" s="5">
        <v>1777.4065180499999</v>
      </c>
      <c r="C20" s="5">
        <v>1691283.5881622001</v>
      </c>
      <c r="D20" s="5">
        <v>0</v>
      </c>
      <c r="E20" s="5">
        <v>0</v>
      </c>
      <c r="F20" s="5">
        <v>1194.27855011</v>
      </c>
      <c r="G20" s="5">
        <v>1082478.7222450001</v>
      </c>
    </row>
    <row r="21" spans="1:7" x14ac:dyDescent="0.15">
      <c r="A21" s="3">
        <v>1402</v>
      </c>
      <c r="B21" s="5">
        <v>347.89136531999998</v>
      </c>
      <c r="C21" s="5">
        <v>347891.36531999998</v>
      </c>
      <c r="D21" s="5">
        <v>0</v>
      </c>
      <c r="E21" s="5">
        <v>0</v>
      </c>
      <c r="F21" s="5">
        <v>0</v>
      </c>
      <c r="G21" s="5">
        <v>0</v>
      </c>
    </row>
    <row r="22" spans="1:7" x14ac:dyDescent="0.15">
      <c r="A22" s="3">
        <v>2000</v>
      </c>
      <c r="B22" s="5">
        <v>2174.9934956699999</v>
      </c>
      <c r="C22" s="5">
        <v>1049383.8885280001</v>
      </c>
      <c r="D22" s="5">
        <v>0</v>
      </c>
      <c r="E22" s="5">
        <v>0</v>
      </c>
      <c r="F22" s="5">
        <v>1365.5244221299999</v>
      </c>
      <c r="G22" s="5">
        <v>644649.35175799998</v>
      </c>
    </row>
    <row r="23" spans="1:7" x14ac:dyDescent="0.15">
      <c r="A23" s="3">
        <v>3001</v>
      </c>
      <c r="B23" s="5">
        <v>3626.6222878100002</v>
      </c>
      <c r="C23" s="5">
        <v>2229246.7080037999</v>
      </c>
      <c r="D23" s="5">
        <v>0</v>
      </c>
      <c r="E23" s="5">
        <v>0</v>
      </c>
      <c r="F23" s="5">
        <v>3098.4216846099998</v>
      </c>
      <c r="G23" s="5">
        <v>1677853.7151583</v>
      </c>
    </row>
    <row r="24" spans="1:7" x14ac:dyDescent="0.15">
      <c r="A24" s="3">
        <v>3002</v>
      </c>
      <c r="B24" s="5">
        <v>1941.4435575499999</v>
      </c>
      <c r="C24" s="5">
        <v>12823303.683644</v>
      </c>
      <c r="D24" s="5">
        <v>575.01730800999997</v>
      </c>
      <c r="E24" s="5">
        <v>11500346.1602</v>
      </c>
      <c r="F24" s="5">
        <v>1240.8902097600001</v>
      </c>
      <c r="G24" s="5">
        <v>1197421.4836639999</v>
      </c>
    </row>
    <row r="25" spans="1:7" x14ac:dyDescent="0.15">
      <c r="A25" s="3">
        <v>6000</v>
      </c>
      <c r="B25" s="5">
        <v>1103.5344637000001</v>
      </c>
      <c r="C25" s="5">
        <v>9045219.8822300006</v>
      </c>
      <c r="D25" s="5">
        <v>0</v>
      </c>
      <c r="E25" s="5">
        <v>0</v>
      </c>
      <c r="F25" s="5">
        <v>0</v>
      </c>
      <c r="G25" s="5">
        <v>0</v>
      </c>
    </row>
    <row r="26" spans="1:7" x14ac:dyDescent="0.15">
      <c r="A26" s="3">
        <v>7002</v>
      </c>
      <c r="B26" s="5">
        <v>940.88430012000003</v>
      </c>
      <c r="C26" s="5">
        <v>3729573.4407100002</v>
      </c>
      <c r="D26" s="5">
        <v>0</v>
      </c>
      <c r="E26" s="5">
        <v>0</v>
      </c>
      <c r="F26" s="5">
        <v>0</v>
      </c>
      <c r="G26" s="5">
        <v>0</v>
      </c>
    </row>
    <row r="27" spans="1:7" x14ac:dyDescent="0.15">
      <c r="A27" s="3">
        <v>8001</v>
      </c>
      <c r="B27" s="5">
        <v>1815.7167970999999</v>
      </c>
      <c r="C27" s="5">
        <v>2441590.6675785002</v>
      </c>
      <c r="D27" s="5">
        <v>0</v>
      </c>
      <c r="E27" s="5">
        <v>0</v>
      </c>
      <c r="F27" s="5">
        <v>0</v>
      </c>
      <c r="G27" s="5">
        <v>0</v>
      </c>
    </row>
    <row r="28" spans="1:7" x14ac:dyDescent="0.15">
      <c r="A28" s="3">
        <v>8009</v>
      </c>
      <c r="B28" s="5">
        <v>492.59795509000003</v>
      </c>
      <c r="C28" s="5">
        <v>197039.18203600001</v>
      </c>
      <c r="D28" s="5">
        <v>0</v>
      </c>
      <c r="E28" s="5">
        <v>0</v>
      </c>
      <c r="F28" s="5">
        <v>492.59795509000003</v>
      </c>
      <c r="G28" s="5">
        <v>197039.18203600001</v>
      </c>
    </row>
    <row r="29" spans="1:7" x14ac:dyDescent="0.15">
      <c r="A29" s="3">
        <v>10010</v>
      </c>
      <c r="B29" s="5">
        <v>13755.70107272</v>
      </c>
      <c r="C29" s="5">
        <v>16412404.3645068</v>
      </c>
      <c r="D29" s="5">
        <v>0</v>
      </c>
      <c r="E29" s="5">
        <v>0</v>
      </c>
      <c r="F29" s="5">
        <v>358.4124114</v>
      </c>
      <c r="G29" s="5">
        <v>716824.82279999997</v>
      </c>
    </row>
    <row r="30" spans="1:7" x14ac:dyDescent="0.15">
      <c r="A30" s="3">
        <v>10021</v>
      </c>
      <c r="B30" s="5">
        <v>1431.31995235</v>
      </c>
      <c r="C30" s="5">
        <v>1145587.2866189999</v>
      </c>
      <c r="D30" s="5">
        <v>0</v>
      </c>
      <c r="E30" s="5">
        <v>0</v>
      </c>
      <c r="F30" s="5">
        <v>612.66380138</v>
      </c>
      <c r="G30" s="5">
        <v>245065.520552</v>
      </c>
    </row>
    <row r="31" spans="1:7" x14ac:dyDescent="0.15">
      <c r="A31" s="3">
        <v>10030</v>
      </c>
      <c r="B31" s="5">
        <v>4399.8894055500004</v>
      </c>
      <c r="C31" s="5">
        <v>1881501.9401984999</v>
      </c>
      <c r="D31" s="5">
        <v>0</v>
      </c>
      <c r="E31" s="5">
        <v>0</v>
      </c>
      <c r="F31" s="5">
        <v>3099.8222202500001</v>
      </c>
      <c r="G31" s="5">
        <v>1063591.2758220001</v>
      </c>
    </row>
    <row r="32" spans="1:7" x14ac:dyDescent="0.15">
      <c r="A32" s="3">
        <v>10091</v>
      </c>
      <c r="B32" s="5">
        <v>8309.6695340200004</v>
      </c>
      <c r="C32" s="5">
        <v>5825575.1004531998</v>
      </c>
      <c r="D32" s="5">
        <v>0</v>
      </c>
      <c r="E32" s="5">
        <v>0</v>
      </c>
      <c r="F32" s="5">
        <v>227.76398162999999</v>
      </c>
      <c r="G32" s="5">
        <v>193599.38438549999</v>
      </c>
    </row>
    <row r="33" spans="1:7" x14ac:dyDescent="0.15">
      <c r="A33" s="3">
        <v>10092</v>
      </c>
      <c r="B33" s="5">
        <v>11794.31092724</v>
      </c>
      <c r="C33" s="5">
        <v>20259186.590882</v>
      </c>
      <c r="D33" s="5">
        <v>0</v>
      </c>
      <c r="E33" s="5">
        <v>0</v>
      </c>
      <c r="F33" s="5">
        <v>0</v>
      </c>
      <c r="G33" s="5">
        <v>0</v>
      </c>
    </row>
    <row r="34" spans="1:7" x14ac:dyDescent="0.15">
      <c r="A34" s="3">
        <v>10099</v>
      </c>
      <c r="B34" s="5">
        <v>17701.228507740001</v>
      </c>
      <c r="C34" s="5">
        <v>26980837.731608499</v>
      </c>
      <c r="D34" s="5">
        <v>0</v>
      </c>
      <c r="E34" s="5">
        <v>0</v>
      </c>
      <c r="F34" s="5">
        <v>0</v>
      </c>
      <c r="G34" s="5">
        <v>0</v>
      </c>
    </row>
    <row r="35" spans="1:7" x14ac:dyDescent="0.15">
      <c r="A35" s="3">
        <v>11000</v>
      </c>
      <c r="B35" s="5">
        <v>4956.3894679900004</v>
      </c>
      <c r="C35" s="5">
        <v>11330818.788573001</v>
      </c>
      <c r="D35" s="5">
        <v>0</v>
      </c>
      <c r="E35" s="5">
        <v>0</v>
      </c>
      <c r="F35" s="5">
        <v>0</v>
      </c>
      <c r="G35" s="5">
        <v>0</v>
      </c>
    </row>
    <row r="36" spans="1:7" x14ac:dyDescent="0.15">
      <c r="A36" s="3">
        <v>13001</v>
      </c>
      <c r="B36" s="5">
        <v>3836.4709766800001</v>
      </c>
      <c r="C36" s="5">
        <v>3726499.3065066999</v>
      </c>
      <c r="D36" s="5">
        <v>0</v>
      </c>
      <c r="E36" s="5">
        <v>0</v>
      </c>
      <c r="F36" s="5">
        <v>1535.5921146200001</v>
      </c>
      <c r="G36" s="5">
        <v>494896.65455069998</v>
      </c>
    </row>
    <row r="37" spans="1:7" x14ac:dyDescent="0.15">
      <c r="A37" s="3">
        <v>13002</v>
      </c>
      <c r="B37" s="5">
        <v>13637.993806070001</v>
      </c>
      <c r="C37" s="5">
        <v>7833095.2582217501</v>
      </c>
      <c r="D37" s="5">
        <v>0</v>
      </c>
      <c r="E37" s="5">
        <v>0</v>
      </c>
      <c r="F37" s="5">
        <v>7959.2675516299996</v>
      </c>
      <c r="G37" s="5">
        <v>5688477.8114862498</v>
      </c>
    </row>
    <row r="38" spans="1:7" x14ac:dyDescent="0.15">
      <c r="A38" s="3">
        <v>14001</v>
      </c>
      <c r="B38" s="5">
        <v>104243.180301</v>
      </c>
      <c r="C38" s="5">
        <v>94793949.2852121</v>
      </c>
      <c r="D38" s="5">
        <v>1334.3219017599999</v>
      </c>
      <c r="E38" s="5">
        <v>1601186.282112</v>
      </c>
      <c r="F38" s="5">
        <v>36665.40956891</v>
      </c>
      <c r="G38" s="5">
        <v>30377824.201262198</v>
      </c>
    </row>
    <row r="39" spans="1:7" x14ac:dyDescent="0.15">
      <c r="A39" s="3">
        <v>14002</v>
      </c>
      <c r="B39" s="5">
        <v>27922.453822210002</v>
      </c>
      <c r="C39" s="5">
        <v>83952415.177728996</v>
      </c>
      <c r="D39" s="5">
        <v>5354.5280019000002</v>
      </c>
      <c r="E39" s="5">
        <v>68525692.427499995</v>
      </c>
      <c r="F39" s="5">
        <v>19522.92878858</v>
      </c>
      <c r="G39" s="5">
        <v>12569077.624853</v>
      </c>
    </row>
    <row r="40" spans="1:7" x14ac:dyDescent="0.15">
      <c r="A40" s="3">
        <v>15012</v>
      </c>
      <c r="B40" s="5">
        <v>2050.11600176</v>
      </c>
      <c r="C40" s="5">
        <v>1282081.640382</v>
      </c>
      <c r="D40" s="5">
        <v>0</v>
      </c>
      <c r="E40" s="5">
        <v>0</v>
      </c>
      <c r="F40" s="5">
        <v>321.87011796000002</v>
      </c>
      <c r="G40" s="5">
        <v>193122.07077600001</v>
      </c>
    </row>
    <row r="41" spans="1:7" x14ac:dyDescent="0.15">
      <c r="A41" s="3">
        <v>15020</v>
      </c>
      <c r="B41" s="5">
        <v>2830.9811389800002</v>
      </c>
      <c r="C41" s="5">
        <v>2406821.9273863998</v>
      </c>
      <c r="D41" s="5">
        <v>0</v>
      </c>
      <c r="E41" s="5">
        <v>0</v>
      </c>
      <c r="F41" s="5">
        <v>811.73085491999996</v>
      </c>
      <c r="G41" s="5">
        <v>162346.170984</v>
      </c>
    </row>
    <row r="42" spans="1:7" x14ac:dyDescent="0.15">
      <c r="A42" s="3">
        <v>16001</v>
      </c>
      <c r="B42" s="5">
        <v>462.21472957999998</v>
      </c>
      <c r="C42" s="5">
        <v>577768.41197500005</v>
      </c>
      <c r="D42" s="5">
        <v>0</v>
      </c>
      <c r="E42" s="5">
        <v>0</v>
      </c>
      <c r="F42" s="5">
        <v>0</v>
      </c>
      <c r="G42" s="5">
        <v>0</v>
      </c>
    </row>
    <row r="43" spans="1:7" x14ac:dyDescent="0.15">
      <c r="A43" s="3">
        <v>16002</v>
      </c>
      <c r="B43" s="5">
        <v>7410.3559842000004</v>
      </c>
      <c r="C43" s="5">
        <v>8430163.3986522406</v>
      </c>
      <c r="D43" s="5">
        <v>0</v>
      </c>
      <c r="E43" s="5">
        <v>0</v>
      </c>
      <c r="F43" s="5">
        <v>2969.9629896800002</v>
      </c>
      <c r="G43" s="5">
        <v>3159483.6413035002</v>
      </c>
    </row>
    <row r="44" spans="1:7" x14ac:dyDescent="0.15">
      <c r="A44" s="3">
        <v>17001</v>
      </c>
      <c r="B44" s="5">
        <v>343.51427526999998</v>
      </c>
      <c r="C44" s="5">
        <v>377865.70279700001</v>
      </c>
      <c r="D44" s="5">
        <v>0</v>
      </c>
      <c r="E44" s="5">
        <v>0</v>
      </c>
      <c r="F44" s="5">
        <v>0</v>
      </c>
      <c r="G44" s="5">
        <v>0</v>
      </c>
    </row>
    <row r="45" spans="1:7" x14ac:dyDescent="0.15">
      <c r="A45" s="3">
        <v>17002</v>
      </c>
      <c r="B45" s="5">
        <v>7472.0223680999998</v>
      </c>
      <c r="C45" s="5">
        <v>12041529.346089499</v>
      </c>
      <c r="D45" s="5">
        <v>0</v>
      </c>
      <c r="E45" s="5">
        <v>0</v>
      </c>
      <c r="F45" s="5">
        <v>1810.51690014</v>
      </c>
      <c r="G45" s="5">
        <v>2579177.7975329999</v>
      </c>
    </row>
    <row r="46" spans="1:7" x14ac:dyDescent="0.15">
      <c r="A46" s="3">
        <v>18000</v>
      </c>
      <c r="B46" s="5">
        <v>6150.9113031200004</v>
      </c>
      <c r="C46" s="5">
        <v>6656703.5577215003</v>
      </c>
      <c r="D46" s="5">
        <v>0</v>
      </c>
      <c r="E46" s="5">
        <v>0</v>
      </c>
      <c r="F46" s="5">
        <v>3076.5770485500002</v>
      </c>
      <c r="G46" s="5">
        <v>2665875.1448975001</v>
      </c>
    </row>
    <row r="47" spans="1:7" x14ac:dyDescent="0.15">
      <c r="A47" s="3">
        <v>19020</v>
      </c>
      <c r="B47" s="5">
        <v>1009.42777972</v>
      </c>
      <c r="C47" s="5">
        <v>3314123.48972</v>
      </c>
      <c r="D47" s="5">
        <v>0</v>
      </c>
      <c r="E47" s="5">
        <v>0</v>
      </c>
      <c r="F47" s="5">
        <v>0</v>
      </c>
      <c r="G47" s="5">
        <v>0</v>
      </c>
    </row>
    <row r="48" spans="1:7" x14ac:dyDescent="0.15">
      <c r="A48" s="3">
        <v>19030</v>
      </c>
      <c r="B48" s="5">
        <v>59.593685309999998</v>
      </c>
      <c r="C48" s="5">
        <v>131106.107682</v>
      </c>
      <c r="D48" s="5">
        <v>0</v>
      </c>
      <c r="E48" s="5">
        <v>0</v>
      </c>
      <c r="F48" s="5">
        <v>0</v>
      </c>
      <c r="G48" s="5">
        <v>0</v>
      </c>
    </row>
    <row r="49" spans="1:7" x14ac:dyDescent="0.15">
      <c r="A49" s="3">
        <v>20010</v>
      </c>
      <c r="B49" s="5">
        <v>802.52954657999999</v>
      </c>
      <c r="C49" s="5">
        <v>997750.62462200003</v>
      </c>
      <c r="D49" s="5">
        <v>0</v>
      </c>
      <c r="E49" s="5">
        <v>0</v>
      </c>
      <c r="F49" s="5">
        <v>0</v>
      </c>
      <c r="G49" s="5">
        <v>0</v>
      </c>
    </row>
    <row r="50" spans="1:7" x14ac:dyDescent="0.15">
      <c r="A50" s="3">
        <v>20020</v>
      </c>
      <c r="B50" s="5">
        <v>3102.23355696</v>
      </c>
      <c r="C50" s="5">
        <v>3233562.5573519999</v>
      </c>
      <c r="D50" s="5">
        <v>0</v>
      </c>
      <c r="E50" s="5">
        <v>0</v>
      </c>
      <c r="F50" s="5">
        <v>1680.8215720400001</v>
      </c>
      <c r="G50" s="5">
        <v>840410.78602</v>
      </c>
    </row>
    <row r="51" spans="1:7" x14ac:dyDescent="0.15">
      <c r="A51" s="3">
        <v>21000</v>
      </c>
      <c r="B51" s="5">
        <v>1922.9273656800001</v>
      </c>
      <c r="C51" s="5">
        <v>2194588.6853880002</v>
      </c>
      <c r="D51" s="5">
        <v>0</v>
      </c>
      <c r="E51" s="5">
        <v>0</v>
      </c>
      <c r="F51" s="5">
        <v>0</v>
      </c>
      <c r="G51" s="5">
        <v>0</v>
      </c>
    </row>
    <row r="52" spans="1:7" x14ac:dyDescent="0.15">
      <c r="A52" s="3">
        <v>22010</v>
      </c>
      <c r="B52" s="5">
        <v>1232.2610260599999</v>
      </c>
      <c r="C52" s="5">
        <v>1971617.641696</v>
      </c>
      <c r="D52" s="5">
        <v>0</v>
      </c>
      <c r="E52" s="5">
        <v>0</v>
      </c>
      <c r="F52" s="5">
        <v>0</v>
      </c>
      <c r="G52" s="5">
        <v>0</v>
      </c>
    </row>
    <row r="53" spans="1:7" x14ac:dyDescent="0.15">
      <c r="A53" s="3">
        <v>22020</v>
      </c>
      <c r="B53" s="5">
        <v>11254.11625533</v>
      </c>
      <c r="C53" s="5">
        <v>15377671.8164877</v>
      </c>
      <c r="D53" s="5">
        <v>0</v>
      </c>
      <c r="E53" s="5">
        <v>0</v>
      </c>
      <c r="F53" s="5">
        <v>501.61622757999999</v>
      </c>
      <c r="G53" s="5">
        <v>175565.679653</v>
      </c>
    </row>
    <row r="54" spans="1:7" x14ac:dyDescent="0.15">
      <c r="A54" s="3">
        <v>23010</v>
      </c>
      <c r="B54" s="5">
        <v>1046.15554806</v>
      </c>
      <c r="C54" s="5">
        <v>1150771.102866</v>
      </c>
      <c r="D54" s="5">
        <v>0</v>
      </c>
      <c r="E54" s="5">
        <v>0</v>
      </c>
      <c r="F54" s="5">
        <v>0</v>
      </c>
      <c r="G54" s="5">
        <v>0</v>
      </c>
    </row>
    <row r="55" spans="1:7" x14ac:dyDescent="0.15">
      <c r="A55" s="3">
        <v>23091</v>
      </c>
      <c r="B55" s="5">
        <v>6061.8229029000004</v>
      </c>
      <c r="C55" s="5">
        <v>7102654.1409139996</v>
      </c>
      <c r="D55" s="5">
        <v>0</v>
      </c>
      <c r="E55" s="5">
        <v>0</v>
      </c>
      <c r="F55" s="5">
        <v>1955.47660004</v>
      </c>
      <c r="G55" s="5">
        <v>977109.17191399995</v>
      </c>
    </row>
    <row r="56" spans="1:7" x14ac:dyDescent="0.15">
      <c r="A56" s="3">
        <v>23099</v>
      </c>
      <c r="B56" s="5">
        <v>13025.26324787</v>
      </c>
      <c r="C56" s="5">
        <v>14361714.360805999</v>
      </c>
      <c r="D56" s="5">
        <v>0</v>
      </c>
      <c r="E56" s="5">
        <v>0</v>
      </c>
      <c r="F56" s="5">
        <v>1759.4698057600001</v>
      </c>
      <c r="G56" s="5">
        <v>1590362.531898</v>
      </c>
    </row>
    <row r="57" spans="1:7" x14ac:dyDescent="0.15">
      <c r="A57" s="3">
        <v>24001</v>
      </c>
      <c r="B57" s="5">
        <v>2495.5477264199999</v>
      </c>
      <c r="C57" s="5">
        <v>8325974.8966800002</v>
      </c>
      <c r="D57" s="5">
        <v>0</v>
      </c>
      <c r="E57" s="5">
        <v>0</v>
      </c>
      <c r="F57" s="5">
        <v>0</v>
      </c>
      <c r="G57" s="5">
        <v>0</v>
      </c>
    </row>
    <row r="58" spans="1:7" x14ac:dyDescent="0.15">
      <c r="A58" s="3">
        <v>24002</v>
      </c>
      <c r="B58" s="5">
        <v>2003.64282555</v>
      </c>
      <c r="C58" s="5">
        <v>3785360.0271390001</v>
      </c>
      <c r="D58" s="5">
        <v>0</v>
      </c>
      <c r="E58" s="5">
        <v>0</v>
      </c>
      <c r="F58" s="5">
        <v>0</v>
      </c>
      <c r="G58" s="5">
        <v>0</v>
      </c>
    </row>
    <row r="59" spans="1:7" x14ac:dyDescent="0.15">
      <c r="A59" s="3">
        <v>25001</v>
      </c>
      <c r="B59" s="5">
        <v>18895.121064800001</v>
      </c>
      <c r="C59" s="5">
        <v>30531147.236008</v>
      </c>
      <c r="D59" s="5">
        <v>692.59223888999998</v>
      </c>
      <c r="E59" s="5">
        <v>1385184.4777800001</v>
      </c>
      <c r="F59" s="5">
        <v>7050.95588262</v>
      </c>
      <c r="G59" s="5">
        <v>12252855.837164501</v>
      </c>
    </row>
    <row r="60" spans="1:7" x14ac:dyDescent="0.15">
      <c r="A60" s="3">
        <v>25002</v>
      </c>
      <c r="B60" s="5">
        <v>4607.1749021200003</v>
      </c>
      <c r="C60" s="5">
        <v>4894136.6699825004</v>
      </c>
      <c r="D60" s="5">
        <v>0</v>
      </c>
      <c r="E60" s="5">
        <v>0</v>
      </c>
      <c r="F60" s="5">
        <v>2871.7572670300001</v>
      </c>
      <c r="G60" s="5">
        <v>3254800.5457334998</v>
      </c>
    </row>
    <row r="61" spans="1:7" x14ac:dyDescent="0.15">
      <c r="A61" s="3">
        <v>27090</v>
      </c>
      <c r="B61" s="5">
        <v>7804.1194275099997</v>
      </c>
      <c r="C61" s="5">
        <v>17419856.432158999</v>
      </c>
      <c r="D61" s="5">
        <v>0</v>
      </c>
      <c r="E61" s="5">
        <v>0</v>
      </c>
      <c r="F61" s="5">
        <v>0</v>
      </c>
      <c r="G61" s="5">
        <v>0</v>
      </c>
    </row>
    <row r="62" spans="1:7" x14ac:dyDescent="0.15">
      <c r="A62" s="3">
        <v>28000</v>
      </c>
      <c r="B62" s="5">
        <v>970.28241273000003</v>
      </c>
      <c r="C62" s="5">
        <v>3035723.0880450001</v>
      </c>
      <c r="D62" s="5">
        <v>0</v>
      </c>
      <c r="E62" s="5">
        <v>0</v>
      </c>
      <c r="F62" s="5">
        <v>0</v>
      </c>
      <c r="G62" s="5">
        <v>0</v>
      </c>
    </row>
    <row r="63" spans="1:7" x14ac:dyDescent="0.15">
      <c r="A63" s="3">
        <v>29001</v>
      </c>
      <c r="B63" s="5">
        <v>13378.422775479999</v>
      </c>
      <c r="C63" s="5">
        <v>17669876.473646801</v>
      </c>
      <c r="D63" s="5">
        <v>0</v>
      </c>
      <c r="E63" s="5">
        <v>0</v>
      </c>
      <c r="F63" s="5">
        <v>0</v>
      </c>
      <c r="G63" s="5">
        <v>0</v>
      </c>
    </row>
    <row r="64" spans="1:7" x14ac:dyDescent="0.15">
      <c r="A64" s="3">
        <v>29002</v>
      </c>
      <c r="B64" s="5">
        <v>3391.9293838600001</v>
      </c>
      <c r="C64" s="5">
        <v>4624628.5991139999</v>
      </c>
      <c r="D64" s="5">
        <v>0</v>
      </c>
      <c r="E64" s="5">
        <v>0</v>
      </c>
      <c r="F64" s="5">
        <v>0</v>
      </c>
      <c r="G64" s="5">
        <v>0</v>
      </c>
    </row>
    <row r="65" spans="1:7" x14ac:dyDescent="0.15">
      <c r="A65" s="3">
        <v>30010</v>
      </c>
      <c r="B65" s="5">
        <v>741.75957633999997</v>
      </c>
      <c r="C65" s="5">
        <v>964287.449242</v>
      </c>
      <c r="D65" s="5">
        <v>0</v>
      </c>
      <c r="E65" s="5">
        <v>0</v>
      </c>
      <c r="F65" s="5">
        <v>0</v>
      </c>
      <c r="G65" s="5">
        <v>0</v>
      </c>
    </row>
    <row r="66" spans="1:7" x14ac:dyDescent="0.15">
      <c r="A66" s="3">
        <v>31000</v>
      </c>
      <c r="B66" s="5">
        <v>20346.06486997</v>
      </c>
      <c r="C66" s="5">
        <v>30290962.605072599</v>
      </c>
      <c r="D66" s="5">
        <v>0</v>
      </c>
      <c r="E66" s="5">
        <v>0</v>
      </c>
      <c r="F66" s="5">
        <v>6837.57375374</v>
      </c>
      <c r="G66" s="5">
        <v>9843955.9408484995</v>
      </c>
    </row>
    <row r="67" spans="1:7" x14ac:dyDescent="0.15">
      <c r="A67" s="3">
        <v>32001</v>
      </c>
      <c r="B67" s="5">
        <v>376.24359599000002</v>
      </c>
      <c r="C67" s="5">
        <v>413867.95558900002</v>
      </c>
      <c r="D67" s="5">
        <v>0</v>
      </c>
      <c r="E67" s="5">
        <v>0</v>
      </c>
      <c r="F67" s="5">
        <v>0</v>
      </c>
      <c r="G67" s="5">
        <v>0</v>
      </c>
    </row>
    <row r="68" spans="1:7" x14ac:dyDescent="0.15">
      <c r="A68" s="3">
        <v>32009</v>
      </c>
      <c r="B68" s="5">
        <v>2063.3107212700002</v>
      </c>
      <c r="C68" s="5">
        <v>2027907.8546899999</v>
      </c>
      <c r="D68" s="5">
        <v>0</v>
      </c>
      <c r="E68" s="5">
        <v>0</v>
      </c>
      <c r="F68" s="5">
        <v>0</v>
      </c>
      <c r="G68" s="5">
        <v>0</v>
      </c>
    </row>
    <row r="69" spans="1:7" x14ac:dyDescent="0.15">
      <c r="A69" s="3">
        <v>33001</v>
      </c>
      <c r="B69" s="5">
        <v>4666.0895729000003</v>
      </c>
      <c r="C69" s="5">
        <v>12039673.0611079</v>
      </c>
      <c r="D69" s="5">
        <v>0</v>
      </c>
      <c r="E69" s="5">
        <v>0</v>
      </c>
      <c r="F69" s="5">
        <v>1288.0408319000001</v>
      </c>
      <c r="G69" s="5">
        <v>2825653.7218960002</v>
      </c>
    </row>
    <row r="70" spans="1:7" x14ac:dyDescent="0.15">
      <c r="A70" s="3">
        <v>33002</v>
      </c>
      <c r="B70" s="5">
        <v>3073.7140208800001</v>
      </c>
      <c r="C70" s="5">
        <v>4492852.639986</v>
      </c>
      <c r="D70" s="5">
        <v>0</v>
      </c>
      <c r="E70" s="5">
        <v>0</v>
      </c>
      <c r="F70" s="5">
        <v>1396.3998158700001</v>
      </c>
      <c r="G70" s="5">
        <v>1007553.062913</v>
      </c>
    </row>
    <row r="71" spans="1:7" x14ac:dyDescent="0.15">
      <c r="A71" s="3">
        <v>35010</v>
      </c>
      <c r="B71" s="5">
        <v>7106.5737543499999</v>
      </c>
      <c r="C71" s="5">
        <v>17613798.038536001</v>
      </c>
      <c r="D71" s="5">
        <v>0</v>
      </c>
      <c r="E71" s="5">
        <v>0</v>
      </c>
      <c r="F71" s="5">
        <v>0</v>
      </c>
      <c r="G71" s="5">
        <v>0</v>
      </c>
    </row>
    <row r="72" spans="1:7" x14ac:dyDescent="0.15">
      <c r="A72" s="3">
        <v>36000</v>
      </c>
      <c r="B72" s="5">
        <v>3222.5036536699999</v>
      </c>
      <c r="C72" s="5">
        <v>19995755.1109332</v>
      </c>
      <c r="D72" s="5">
        <v>0</v>
      </c>
      <c r="E72" s="5">
        <v>0</v>
      </c>
      <c r="F72" s="5">
        <v>0</v>
      </c>
      <c r="G72" s="5">
        <v>0</v>
      </c>
    </row>
    <row r="73" spans="1:7" x14ac:dyDescent="0.15">
      <c r="A73" s="3">
        <v>38000</v>
      </c>
      <c r="B73" s="5">
        <v>6330.2490788900004</v>
      </c>
      <c r="C73" s="5">
        <v>8972207.4056250006</v>
      </c>
      <c r="D73" s="5">
        <v>0</v>
      </c>
      <c r="E73" s="5">
        <v>0</v>
      </c>
      <c r="F73" s="5">
        <v>0</v>
      </c>
      <c r="G73" s="5">
        <v>0</v>
      </c>
    </row>
    <row r="74" spans="1:7" x14ac:dyDescent="0.15">
      <c r="A74" s="3">
        <v>39000</v>
      </c>
      <c r="B74" s="5">
        <v>455.59915747999997</v>
      </c>
      <c r="C74" s="5">
        <v>546718.98897599999</v>
      </c>
      <c r="D74" s="5">
        <v>0</v>
      </c>
      <c r="E74" s="5">
        <v>0</v>
      </c>
      <c r="F74" s="5">
        <v>0</v>
      </c>
      <c r="G74" s="5">
        <v>0</v>
      </c>
    </row>
    <row r="75" spans="1:7" x14ac:dyDescent="0.15">
      <c r="A75" s="3">
        <v>41000</v>
      </c>
      <c r="B75" s="5">
        <v>188644.13275808</v>
      </c>
      <c r="C75" s="5">
        <v>232861466.68603101</v>
      </c>
      <c r="D75" s="5">
        <v>227.67288593000001</v>
      </c>
      <c r="E75" s="5">
        <v>136603.731558</v>
      </c>
      <c r="F75" s="5">
        <v>111803.02164228</v>
      </c>
      <c r="G75" s="5">
        <v>106811609.35582601</v>
      </c>
    </row>
    <row r="76" spans="1:7" x14ac:dyDescent="0.15">
      <c r="A76" s="3">
        <v>42000</v>
      </c>
      <c r="B76" s="5">
        <v>20917.058272810002</v>
      </c>
      <c r="C76" s="5">
        <v>45976126.513291202</v>
      </c>
      <c r="D76" s="5">
        <v>0</v>
      </c>
      <c r="E76" s="5">
        <v>0</v>
      </c>
      <c r="F76" s="5">
        <v>126.98769230000001</v>
      </c>
      <c r="G76" s="5">
        <v>101590.15384</v>
      </c>
    </row>
    <row r="77" spans="1:7" x14ac:dyDescent="0.15">
      <c r="A77" s="3">
        <v>43000</v>
      </c>
      <c r="B77" s="5">
        <v>48389.199555439998</v>
      </c>
      <c r="C77" s="5">
        <v>78441791.859126896</v>
      </c>
      <c r="D77" s="5">
        <v>494.78531113000003</v>
      </c>
      <c r="E77" s="5">
        <v>1484355.9333899999</v>
      </c>
      <c r="F77" s="5">
        <v>33027.78200205</v>
      </c>
      <c r="G77" s="5">
        <v>59615325.753530003</v>
      </c>
    </row>
    <row r="78" spans="1:7" x14ac:dyDescent="0.15">
      <c r="A78" s="3">
        <v>45010</v>
      </c>
      <c r="B78" s="5">
        <v>6262.8834190600001</v>
      </c>
      <c r="C78" s="5">
        <v>15787942.102818999</v>
      </c>
      <c r="D78" s="5">
        <v>0</v>
      </c>
      <c r="E78" s="5">
        <v>0</v>
      </c>
      <c r="F78" s="5">
        <v>936.38042983000003</v>
      </c>
      <c r="G78" s="5">
        <v>5382101.2799899997</v>
      </c>
    </row>
    <row r="79" spans="1:7" x14ac:dyDescent="0.15">
      <c r="A79" s="3">
        <v>45020</v>
      </c>
      <c r="B79" s="5">
        <v>69607.455542590003</v>
      </c>
      <c r="C79" s="5">
        <v>72246143.650364995</v>
      </c>
      <c r="D79" s="5">
        <v>1751.01174128</v>
      </c>
      <c r="E79" s="5">
        <v>5928298.0615919996</v>
      </c>
      <c r="F79" s="5">
        <v>25857.218495059999</v>
      </c>
      <c r="G79" s="5">
        <v>25013986.673304599</v>
      </c>
    </row>
    <row r="80" spans="1:7" x14ac:dyDescent="0.15">
      <c r="A80" s="3">
        <v>45030</v>
      </c>
      <c r="B80" s="5">
        <v>10951.08923714</v>
      </c>
      <c r="C80" s="5">
        <v>26011061.337873001</v>
      </c>
      <c r="D80" s="5">
        <v>0</v>
      </c>
      <c r="E80" s="5">
        <v>0</v>
      </c>
      <c r="F80" s="5">
        <v>1348.8935744600001</v>
      </c>
      <c r="G80" s="5">
        <v>2690351.47566</v>
      </c>
    </row>
    <row r="81" spans="1:7" x14ac:dyDescent="0.15">
      <c r="A81" s="3">
        <v>45040</v>
      </c>
      <c r="B81" s="5">
        <v>11644.29518006</v>
      </c>
      <c r="C81" s="5">
        <v>12051920.444242001</v>
      </c>
      <c r="D81" s="5">
        <v>0</v>
      </c>
      <c r="E81" s="5">
        <v>0</v>
      </c>
      <c r="F81" s="5">
        <v>5373.6154072500003</v>
      </c>
      <c r="G81" s="5">
        <v>7809617.0854169996</v>
      </c>
    </row>
    <row r="82" spans="1:7" x14ac:dyDescent="0.15">
      <c r="A82" s="3">
        <v>48010</v>
      </c>
      <c r="B82" s="5">
        <v>2813.6013902499999</v>
      </c>
      <c r="C82" s="5">
        <v>8091538.1311024996</v>
      </c>
      <c r="D82" s="5">
        <v>0</v>
      </c>
      <c r="E82" s="5">
        <v>0</v>
      </c>
      <c r="F82" s="5">
        <v>733.74352138999996</v>
      </c>
      <c r="G82" s="5">
        <v>3852153.4872975</v>
      </c>
    </row>
    <row r="83" spans="1:7" x14ac:dyDescent="0.15">
      <c r="A83" s="3">
        <v>48020</v>
      </c>
      <c r="B83" s="5">
        <v>3795.4479057600001</v>
      </c>
      <c r="C83" s="5">
        <v>4629401.5524137998</v>
      </c>
      <c r="D83" s="5">
        <v>0</v>
      </c>
      <c r="E83" s="5">
        <v>0</v>
      </c>
      <c r="F83" s="5">
        <v>1544.22011049</v>
      </c>
      <c r="G83" s="5">
        <v>3157006.3715249998</v>
      </c>
    </row>
    <row r="84" spans="1:7" x14ac:dyDescent="0.15">
      <c r="A84" s="3">
        <v>48030</v>
      </c>
      <c r="B84" s="5">
        <v>162771.39146617</v>
      </c>
      <c r="C84" s="5">
        <v>236925091.797995</v>
      </c>
      <c r="D84" s="5">
        <v>3357.54968637</v>
      </c>
      <c r="E84" s="5">
        <v>8102213.3244730001</v>
      </c>
      <c r="F84" s="5">
        <v>60567.715921739997</v>
      </c>
      <c r="G84" s="5">
        <v>70432919.472670496</v>
      </c>
    </row>
    <row r="85" spans="1:7" x14ac:dyDescent="0.15">
      <c r="A85" s="3">
        <v>48041</v>
      </c>
      <c r="B85" s="5">
        <v>4122.0181438199998</v>
      </c>
      <c r="C85" s="5">
        <v>5131196.6622634996</v>
      </c>
      <c r="D85" s="5">
        <v>0</v>
      </c>
      <c r="E85" s="5">
        <v>0</v>
      </c>
      <c r="F85" s="5">
        <v>2182.2367298200002</v>
      </c>
      <c r="G85" s="5">
        <v>2298095.2373104999</v>
      </c>
    </row>
    <row r="86" spans="1:7" x14ac:dyDescent="0.15">
      <c r="A86" s="3">
        <v>48042</v>
      </c>
      <c r="B86" s="5">
        <v>82136.143654290005</v>
      </c>
      <c r="C86" s="5">
        <v>110825145.72438601</v>
      </c>
      <c r="D86" s="5">
        <v>3919.1004359100002</v>
      </c>
      <c r="E86" s="5">
        <v>7061298.2870349996</v>
      </c>
      <c r="F86" s="5">
        <v>37497.578711059999</v>
      </c>
      <c r="G86" s="5">
        <v>43410581.764360502</v>
      </c>
    </row>
    <row r="87" spans="1:7" x14ac:dyDescent="0.15">
      <c r="A87" s="3">
        <v>48050</v>
      </c>
      <c r="B87" s="5">
        <v>30002.568527129999</v>
      </c>
      <c r="C87" s="5">
        <v>50123180.9652711</v>
      </c>
      <c r="D87" s="5">
        <v>116.89692474</v>
      </c>
      <c r="E87" s="5">
        <v>292242.31185</v>
      </c>
      <c r="F87" s="5">
        <v>2332.34869918</v>
      </c>
      <c r="G87" s="5">
        <v>2958372.4989399998</v>
      </c>
    </row>
    <row r="88" spans="1:7" x14ac:dyDescent="0.15">
      <c r="A88" s="3">
        <v>48060</v>
      </c>
      <c r="B88" s="5">
        <v>17262.031356449999</v>
      </c>
      <c r="C88" s="5">
        <v>23326427.4361565</v>
      </c>
      <c r="D88" s="5">
        <v>0</v>
      </c>
      <c r="E88" s="5">
        <v>0</v>
      </c>
      <c r="F88" s="5">
        <v>0</v>
      </c>
      <c r="G88" s="5">
        <v>0</v>
      </c>
    </row>
    <row r="89" spans="1:7" x14ac:dyDescent="0.15">
      <c r="A89" s="3">
        <v>48071</v>
      </c>
      <c r="B89" s="5">
        <v>71531.791542930005</v>
      </c>
      <c r="C89" s="5">
        <v>110136767.912367</v>
      </c>
      <c r="D89" s="5">
        <v>1973.69742219</v>
      </c>
      <c r="E89" s="5">
        <v>2536575.3065610002</v>
      </c>
      <c r="F89" s="5">
        <v>32434.879442770001</v>
      </c>
      <c r="G89" s="5">
        <v>29619871.733564101</v>
      </c>
    </row>
    <row r="90" spans="1:7" x14ac:dyDescent="0.15">
      <c r="A90" s="3">
        <v>48072</v>
      </c>
      <c r="B90" s="5">
        <v>4479.8447541799997</v>
      </c>
      <c r="C90" s="5">
        <v>4343092.8463415001</v>
      </c>
      <c r="D90" s="5">
        <v>0</v>
      </c>
      <c r="E90" s="5">
        <v>0</v>
      </c>
      <c r="F90" s="5">
        <v>221.62945257999999</v>
      </c>
      <c r="G90" s="5">
        <v>243792.397838</v>
      </c>
    </row>
    <row r="91" spans="1:7" x14ac:dyDescent="0.15">
      <c r="A91" s="3">
        <v>48073</v>
      </c>
      <c r="B91" s="5">
        <v>36015.856959329998</v>
      </c>
      <c r="C91" s="5">
        <v>53083440.026578598</v>
      </c>
      <c r="D91" s="5">
        <v>0</v>
      </c>
      <c r="E91" s="5">
        <v>0</v>
      </c>
      <c r="F91" s="5">
        <v>6366.9366393500004</v>
      </c>
      <c r="G91" s="5">
        <v>10854687.740855999</v>
      </c>
    </row>
    <row r="92" spans="1:7" x14ac:dyDescent="0.15">
      <c r="A92" s="3">
        <v>48074</v>
      </c>
      <c r="B92" s="5">
        <v>4745.6861556499998</v>
      </c>
      <c r="C92" s="5">
        <v>20350278.749276999</v>
      </c>
      <c r="D92" s="5">
        <v>784.57051408999996</v>
      </c>
      <c r="E92" s="5">
        <v>863027.56549900002</v>
      </c>
      <c r="F92" s="5">
        <v>716.27853593999998</v>
      </c>
      <c r="G92" s="5">
        <v>4556004.1553849997</v>
      </c>
    </row>
    <row r="93" spans="1:7" x14ac:dyDescent="0.15">
      <c r="A93" s="3">
        <v>48075</v>
      </c>
      <c r="B93" s="5">
        <v>3825.3840671299999</v>
      </c>
      <c r="C93" s="5">
        <v>13703664.51079</v>
      </c>
      <c r="D93" s="5">
        <v>0</v>
      </c>
      <c r="E93" s="5">
        <v>0</v>
      </c>
      <c r="F93" s="5">
        <v>656.82942763999995</v>
      </c>
      <c r="G93" s="5">
        <v>985244.14145999996</v>
      </c>
    </row>
    <row r="94" spans="1:7" x14ac:dyDescent="0.15">
      <c r="A94" s="3">
        <v>48076</v>
      </c>
      <c r="B94" s="5">
        <v>10043.83537771</v>
      </c>
      <c r="C94" s="5">
        <v>12333300.5235967</v>
      </c>
      <c r="D94" s="5">
        <v>0</v>
      </c>
      <c r="E94" s="5">
        <v>0</v>
      </c>
      <c r="F94" s="5">
        <v>1270.8880268600001</v>
      </c>
      <c r="G94" s="5">
        <v>1397976.8295460001</v>
      </c>
    </row>
    <row r="95" spans="1:7" x14ac:dyDescent="0.15">
      <c r="A95" s="3">
        <v>48078</v>
      </c>
      <c r="B95" s="5">
        <v>9484.9612908599993</v>
      </c>
      <c r="C95" s="5">
        <v>4205640.366893</v>
      </c>
      <c r="D95" s="5">
        <v>0</v>
      </c>
      <c r="E95" s="5">
        <v>0</v>
      </c>
      <c r="F95" s="5">
        <v>8871.6248015900001</v>
      </c>
      <c r="G95" s="5">
        <v>4001484.0935530001</v>
      </c>
    </row>
    <row r="96" spans="1:7" x14ac:dyDescent="0.15">
      <c r="A96" s="3">
        <v>48079</v>
      </c>
      <c r="B96" s="5">
        <v>42401.311492859997</v>
      </c>
      <c r="C96" s="5">
        <v>73974396.807889</v>
      </c>
      <c r="D96" s="5">
        <v>186.0442759</v>
      </c>
      <c r="E96" s="5">
        <v>465110.68975000002</v>
      </c>
      <c r="F96" s="5">
        <v>15101.300376560001</v>
      </c>
      <c r="G96" s="5">
        <v>29843915.867481999</v>
      </c>
    </row>
    <row r="97" spans="1:7" x14ac:dyDescent="0.15">
      <c r="A97" s="3">
        <v>48080</v>
      </c>
      <c r="B97" s="5">
        <v>61093.697416399998</v>
      </c>
      <c r="C97" s="5">
        <v>84802618.033862904</v>
      </c>
      <c r="D97" s="5">
        <v>0</v>
      </c>
      <c r="E97" s="5">
        <v>0</v>
      </c>
      <c r="F97" s="5">
        <v>0</v>
      </c>
      <c r="G97" s="5">
        <v>0</v>
      </c>
    </row>
    <row r="98" spans="1:7" x14ac:dyDescent="0.15">
      <c r="A98" s="3">
        <v>48090</v>
      </c>
      <c r="B98" s="5">
        <v>7270.0739399499998</v>
      </c>
      <c r="C98" s="5">
        <v>58373471.376966</v>
      </c>
      <c r="D98" s="5">
        <v>877.87720758</v>
      </c>
      <c r="E98" s="5">
        <v>4389386.0378999999</v>
      </c>
      <c r="F98" s="5">
        <v>812.11130619999994</v>
      </c>
      <c r="G98" s="5">
        <v>4336374.5475000003</v>
      </c>
    </row>
    <row r="99" spans="1:7" x14ac:dyDescent="0.15">
      <c r="A99" s="3">
        <v>48100</v>
      </c>
      <c r="B99" s="5">
        <v>52710.53631851</v>
      </c>
      <c r="C99" s="5">
        <v>42945546.6801036</v>
      </c>
      <c r="D99" s="5">
        <v>354.96249712000002</v>
      </c>
      <c r="E99" s="5">
        <v>709924.99424000003</v>
      </c>
      <c r="F99" s="5">
        <v>42550.12282407</v>
      </c>
      <c r="G99" s="5">
        <v>34794256.047775596</v>
      </c>
    </row>
    <row r="100" spans="1:7" x14ac:dyDescent="0.15">
      <c r="A100" s="3">
        <v>49010</v>
      </c>
      <c r="B100" s="5">
        <v>2169.6205963799998</v>
      </c>
      <c r="C100" s="5">
        <v>14142062.353422999</v>
      </c>
      <c r="D100" s="5">
        <v>0</v>
      </c>
      <c r="E100" s="5">
        <v>0</v>
      </c>
      <c r="F100" s="5">
        <v>0</v>
      </c>
      <c r="G100" s="5">
        <v>0</v>
      </c>
    </row>
    <row r="101" spans="1:7" x14ac:dyDescent="0.15">
      <c r="A101" s="3">
        <v>49030</v>
      </c>
      <c r="B101" s="5">
        <v>97341.710451890001</v>
      </c>
      <c r="C101" s="5">
        <v>121117005.05776</v>
      </c>
      <c r="D101" s="5">
        <v>544.73597941000003</v>
      </c>
      <c r="E101" s="5">
        <v>1089471.9588200001</v>
      </c>
      <c r="F101" s="5">
        <v>80217.073058459995</v>
      </c>
      <c r="G101" s="5">
        <v>90572191.047017202</v>
      </c>
    </row>
    <row r="102" spans="1:7" x14ac:dyDescent="0.15">
      <c r="A102" s="3">
        <v>49040</v>
      </c>
      <c r="B102" s="5">
        <v>55602.202335310001</v>
      </c>
      <c r="C102" s="5">
        <v>95684627.387137294</v>
      </c>
      <c r="D102" s="5">
        <v>0</v>
      </c>
      <c r="E102" s="5">
        <v>0</v>
      </c>
      <c r="F102" s="5">
        <v>18450.131621820001</v>
      </c>
      <c r="G102" s="5">
        <v>34779347.177988999</v>
      </c>
    </row>
    <row r="103" spans="1:7" x14ac:dyDescent="0.15">
      <c r="A103" s="3">
        <v>50000</v>
      </c>
      <c r="B103" s="5">
        <v>870.97223273999998</v>
      </c>
      <c r="C103" s="5">
        <v>958069.456014</v>
      </c>
      <c r="D103" s="5">
        <v>0</v>
      </c>
      <c r="E103" s="5">
        <v>0</v>
      </c>
      <c r="F103" s="5">
        <v>0</v>
      </c>
      <c r="G103" s="5">
        <v>0</v>
      </c>
    </row>
    <row r="104" spans="1:7" x14ac:dyDescent="0.15">
      <c r="A104" s="3">
        <v>51000</v>
      </c>
      <c r="B104" s="5">
        <v>2814.6722862800002</v>
      </c>
      <c r="C104" s="5">
        <v>10134008.802501</v>
      </c>
      <c r="D104" s="5">
        <v>0</v>
      </c>
      <c r="E104" s="5">
        <v>0</v>
      </c>
      <c r="F104" s="5">
        <v>0</v>
      </c>
      <c r="G104" s="5">
        <v>0</v>
      </c>
    </row>
    <row r="105" spans="1:7" x14ac:dyDescent="0.15">
      <c r="A105" s="3">
        <v>52010</v>
      </c>
      <c r="B105" s="5">
        <v>1534.25260499</v>
      </c>
      <c r="C105" s="5">
        <v>1365154.928938</v>
      </c>
      <c r="D105" s="5">
        <v>0</v>
      </c>
      <c r="E105" s="5">
        <v>0</v>
      </c>
      <c r="F105" s="5">
        <v>1118.1513137500001</v>
      </c>
      <c r="G105" s="5">
        <v>907443.50857399998</v>
      </c>
    </row>
    <row r="106" spans="1:7" x14ac:dyDescent="0.15">
      <c r="A106" s="3">
        <v>52020</v>
      </c>
      <c r="B106" s="5">
        <v>7285.3377395799998</v>
      </c>
      <c r="C106" s="5">
        <v>15686807.149104999</v>
      </c>
      <c r="D106" s="5">
        <v>0</v>
      </c>
      <c r="E106" s="5">
        <v>0</v>
      </c>
      <c r="F106" s="5">
        <v>305.56871193000001</v>
      </c>
      <c r="G106" s="5">
        <v>366682.45431599999</v>
      </c>
    </row>
    <row r="107" spans="1:7" x14ac:dyDescent="0.15">
      <c r="A107" s="3">
        <v>53001</v>
      </c>
      <c r="B107" s="5">
        <v>3176.9977685200001</v>
      </c>
      <c r="C107" s="5">
        <v>7968986.4788800003</v>
      </c>
      <c r="D107" s="5">
        <v>0</v>
      </c>
      <c r="E107" s="5">
        <v>0</v>
      </c>
      <c r="F107" s="5">
        <v>0</v>
      </c>
      <c r="G107" s="5">
        <v>0</v>
      </c>
    </row>
    <row r="108" spans="1:7" x14ac:dyDescent="0.15">
      <c r="A108" s="3">
        <v>53002</v>
      </c>
      <c r="B108" s="5">
        <v>18154.638481270002</v>
      </c>
      <c r="C108" s="5">
        <v>22640876.399937</v>
      </c>
      <c r="D108" s="5">
        <v>0</v>
      </c>
      <c r="E108" s="5">
        <v>0</v>
      </c>
      <c r="F108" s="5">
        <v>14013.609254860001</v>
      </c>
      <c r="G108" s="5">
        <v>19077501.639917001</v>
      </c>
    </row>
    <row r="109" spans="1:7" x14ac:dyDescent="0.15">
      <c r="A109" s="3">
        <v>55000</v>
      </c>
      <c r="B109" s="5">
        <v>15652.873922770001</v>
      </c>
      <c r="C109" s="5">
        <v>26970408.966824301</v>
      </c>
      <c r="D109" s="5">
        <v>0</v>
      </c>
      <c r="E109" s="5">
        <v>0</v>
      </c>
      <c r="F109" s="5">
        <v>0</v>
      </c>
      <c r="G109" s="5">
        <v>0</v>
      </c>
    </row>
    <row r="110" spans="1:7" x14ac:dyDescent="0.15">
      <c r="A110" s="3">
        <v>56011</v>
      </c>
      <c r="B110" s="5">
        <v>123550.48124424</v>
      </c>
      <c r="C110" s="5">
        <v>137671982.95721799</v>
      </c>
      <c r="D110" s="5">
        <v>2433.6174432100001</v>
      </c>
      <c r="E110" s="5">
        <v>6188883.605219</v>
      </c>
      <c r="F110" s="5">
        <v>38939.674330679998</v>
      </c>
      <c r="G110" s="5">
        <v>37263742.567094497</v>
      </c>
    </row>
    <row r="111" spans="1:7" x14ac:dyDescent="0.15">
      <c r="A111" s="3">
        <v>56012</v>
      </c>
      <c r="B111" s="5">
        <v>32427.72398535</v>
      </c>
      <c r="C111" s="5">
        <v>33102214.463006899</v>
      </c>
      <c r="D111" s="5">
        <v>0</v>
      </c>
      <c r="E111" s="5">
        <v>0</v>
      </c>
      <c r="F111" s="5">
        <v>24397.96866364</v>
      </c>
      <c r="G111" s="5">
        <v>27146591.262504902</v>
      </c>
    </row>
    <row r="112" spans="1:7" x14ac:dyDescent="0.15">
      <c r="A112" s="3">
        <v>56020</v>
      </c>
      <c r="B112" s="5">
        <v>33404.268528480003</v>
      </c>
      <c r="C112" s="5">
        <v>19102356.212975699</v>
      </c>
      <c r="D112" s="5">
        <v>0</v>
      </c>
      <c r="E112" s="5">
        <v>0</v>
      </c>
      <c r="F112" s="5">
        <v>31073.395072390002</v>
      </c>
      <c r="G112" s="5">
        <v>18453659.842879701</v>
      </c>
    </row>
    <row r="113" spans="1:7" x14ac:dyDescent="0.15">
      <c r="A113" s="3">
        <v>58000</v>
      </c>
      <c r="B113" s="5">
        <v>1146.60614001</v>
      </c>
      <c r="C113" s="5">
        <v>1547918.2890135001</v>
      </c>
      <c r="D113" s="5">
        <v>0</v>
      </c>
      <c r="E113" s="5">
        <v>0</v>
      </c>
      <c r="F113" s="5">
        <v>0</v>
      </c>
      <c r="G113" s="5">
        <v>0</v>
      </c>
    </row>
    <row r="114" spans="1:7" x14ac:dyDescent="0.15">
      <c r="A114" s="3">
        <v>59000</v>
      </c>
      <c r="B114" s="5">
        <v>2227.0478148699999</v>
      </c>
      <c r="C114" s="5">
        <v>6294318.8405269999</v>
      </c>
      <c r="D114" s="5">
        <v>0</v>
      </c>
      <c r="E114" s="5">
        <v>0</v>
      </c>
      <c r="F114" s="5">
        <v>1318.6736856800001</v>
      </c>
      <c r="G114" s="5">
        <v>3296684.2141999998</v>
      </c>
    </row>
    <row r="115" spans="1:7" x14ac:dyDescent="0.15">
      <c r="A115" s="3">
        <v>60001</v>
      </c>
      <c r="B115" s="5">
        <v>837.83409028999995</v>
      </c>
      <c r="C115" s="5">
        <v>2345935.4528120002</v>
      </c>
      <c r="D115" s="5">
        <v>0</v>
      </c>
      <c r="E115" s="5">
        <v>0</v>
      </c>
      <c r="F115" s="5">
        <v>0</v>
      </c>
      <c r="G115" s="5">
        <v>0</v>
      </c>
    </row>
    <row r="116" spans="1:7" x14ac:dyDescent="0.15">
      <c r="A116" s="3">
        <v>60002</v>
      </c>
      <c r="B116" s="5">
        <v>1348.15859998</v>
      </c>
      <c r="C116" s="5">
        <v>1229988.9062059999</v>
      </c>
      <c r="D116" s="5">
        <v>0</v>
      </c>
      <c r="E116" s="5">
        <v>0</v>
      </c>
      <c r="F116" s="5">
        <v>632.46388443000001</v>
      </c>
      <c r="G116" s="5">
        <v>442724.719101</v>
      </c>
    </row>
    <row r="117" spans="1:7" x14ac:dyDescent="0.15">
      <c r="A117" s="3">
        <v>61000</v>
      </c>
      <c r="B117" s="5">
        <v>17179.057220850002</v>
      </c>
      <c r="C117" s="5">
        <v>35147132.961176902</v>
      </c>
      <c r="D117" s="5">
        <v>0</v>
      </c>
      <c r="E117" s="5">
        <v>0</v>
      </c>
      <c r="F117" s="5">
        <v>2909.0693350400002</v>
      </c>
      <c r="G117" s="5">
        <v>6480085.2077940004</v>
      </c>
    </row>
    <row r="118" spans="1:7" x14ac:dyDescent="0.15">
      <c r="A118" s="3">
        <v>62000</v>
      </c>
      <c r="B118" s="5">
        <v>13030.576204139999</v>
      </c>
      <c r="C118" s="5">
        <v>59494385.301585801</v>
      </c>
      <c r="D118" s="5">
        <v>0</v>
      </c>
      <c r="E118" s="5">
        <v>0</v>
      </c>
      <c r="F118" s="5">
        <v>4461.5505079499999</v>
      </c>
      <c r="G118" s="5">
        <v>12477033.3545394</v>
      </c>
    </row>
    <row r="119" spans="1:7" x14ac:dyDescent="0.15">
      <c r="A119" s="3">
        <v>63000</v>
      </c>
      <c r="B119" s="5">
        <v>1499.32769525</v>
      </c>
      <c r="C119" s="5">
        <v>2731434.7851339998</v>
      </c>
      <c r="D119" s="5">
        <v>0</v>
      </c>
      <c r="E119" s="5">
        <v>0</v>
      </c>
      <c r="F119" s="5">
        <v>762.48852977000001</v>
      </c>
      <c r="G119" s="5">
        <v>152497.705954</v>
      </c>
    </row>
    <row r="120" spans="1:7" x14ac:dyDescent="0.15">
      <c r="A120" s="3">
        <v>64000</v>
      </c>
      <c r="B120" s="5">
        <v>19135.106894519999</v>
      </c>
      <c r="C120" s="5">
        <v>79166195.165648505</v>
      </c>
      <c r="D120" s="5">
        <v>0</v>
      </c>
      <c r="E120" s="5">
        <v>0</v>
      </c>
      <c r="F120" s="5">
        <v>0</v>
      </c>
      <c r="G120" s="5">
        <v>0</v>
      </c>
    </row>
    <row r="121" spans="1:7" x14ac:dyDescent="0.15">
      <c r="A121" s="3">
        <v>65000</v>
      </c>
      <c r="B121" s="5">
        <v>1509.9139807199999</v>
      </c>
      <c r="C121" s="5">
        <v>2616275.8966259998</v>
      </c>
      <c r="D121" s="5">
        <v>0</v>
      </c>
      <c r="E121" s="5">
        <v>0</v>
      </c>
      <c r="F121" s="5">
        <v>0</v>
      </c>
      <c r="G121" s="5">
        <v>0</v>
      </c>
    </row>
    <row r="122" spans="1:7" x14ac:dyDescent="0.15">
      <c r="A122" s="3">
        <v>66001</v>
      </c>
      <c r="B122" s="5">
        <v>998.31337126999995</v>
      </c>
      <c r="C122" s="5">
        <v>764995.95085899998</v>
      </c>
      <c r="D122" s="5">
        <v>0</v>
      </c>
      <c r="E122" s="5">
        <v>0</v>
      </c>
      <c r="F122" s="5">
        <v>0</v>
      </c>
      <c r="G122" s="5">
        <v>0</v>
      </c>
    </row>
    <row r="123" spans="1:7" x14ac:dyDescent="0.15">
      <c r="A123" s="3">
        <v>66002</v>
      </c>
      <c r="B123" s="5">
        <v>3335.5541562799999</v>
      </c>
      <c r="C123" s="5">
        <v>9606394.7265693992</v>
      </c>
      <c r="D123" s="5">
        <v>0</v>
      </c>
      <c r="E123" s="5">
        <v>0</v>
      </c>
      <c r="F123" s="5">
        <v>2196.1799584599999</v>
      </c>
      <c r="G123" s="5">
        <v>1630775.3418294</v>
      </c>
    </row>
    <row r="124" spans="1:7" x14ac:dyDescent="0.15">
      <c r="A124" s="3">
        <v>68000</v>
      </c>
      <c r="B124" s="5">
        <v>17423.236853850001</v>
      </c>
      <c r="C124" s="5">
        <v>49968674.390602998</v>
      </c>
      <c r="D124" s="5">
        <v>0</v>
      </c>
      <c r="E124" s="5">
        <v>0</v>
      </c>
      <c r="F124" s="5">
        <v>5262.4991821399999</v>
      </c>
      <c r="G124" s="5">
        <v>18392644.203896001</v>
      </c>
    </row>
    <row r="125" spans="1:7" x14ac:dyDescent="0.15">
      <c r="A125" s="3">
        <v>69000</v>
      </c>
      <c r="B125" s="5">
        <v>44896.599986879999</v>
      </c>
      <c r="C125" s="5">
        <v>257614871.332982</v>
      </c>
      <c r="D125" s="5">
        <v>0</v>
      </c>
      <c r="E125" s="5">
        <v>0</v>
      </c>
      <c r="F125" s="5">
        <v>19913.509205139999</v>
      </c>
      <c r="G125" s="5">
        <v>100168001.428744</v>
      </c>
    </row>
    <row r="126" spans="1:7" x14ac:dyDescent="0.15">
      <c r="A126" s="3">
        <v>70000</v>
      </c>
      <c r="B126" s="5">
        <v>1196.4237344999999</v>
      </c>
      <c r="C126" s="5">
        <v>5550477.2971494002</v>
      </c>
      <c r="D126" s="5">
        <v>0</v>
      </c>
      <c r="E126" s="5">
        <v>0</v>
      </c>
      <c r="F126" s="5">
        <v>388.80286667000001</v>
      </c>
      <c r="G126" s="5">
        <v>0</v>
      </c>
    </row>
    <row r="127" spans="1:7" x14ac:dyDescent="0.15">
      <c r="A127" s="3">
        <v>71000</v>
      </c>
      <c r="B127" s="5">
        <v>7106.5144133200001</v>
      </c>
      <c r="C127" s="5">
        <v>18193854.069832999</v>
      </c>
      <c r="D127" s="5">
        <v>0</v>
      </c>
      <c r="E127" s="5">
        <v>0</v>
      </c>
      <c r="F127" s="5">
        <v>2661.6358854800001</v>
      </c>
      <c r="G127" s="5">
        <v>6587916.0718769999</v>
      </c>
    </row>
    <row r="128" spans="1:7" x14ac:dyDescent="0.15">
      <c r="A128" s="3">
        <v>73010</v>
      </c>
      <c r="B128" s="5">
        <v>10684.006644519999</v>
      </c>
      <c r="C128" s="5">
        <v>17364360.281319</v>
      </c>
      <c r="D128" s="5">
        <v>1132.38337723</v>
      </c>
      <c r="E128" s="5">
        <v>2491243.4299059999</v>
      </c>
      <c r="F128" s="5">
        <v>4122.4793644199999</v>
      </c>
      <c r="G128" s="5">
        <v>4440375.8030415</v>
      </c>
    </row>
    <row r="129" spans="1:7" x14ac:dyDescent="0.15">
      <c r="A129" s="3">
        <v>74000</v>
      </c>
      <c r="B129" s="5">
        <v>6656.2816176699998</v>
      </c>
      <c r="C129" s="5">
        <v>11771445.7806825</v>
      </c>
      <c r="D129" s="5">
        <v>0</v>
      </c>
      <c r="E129" s="5">
        <v>0</v>
      </c>
      <c r="F129" s="5">
        <v>4458.1521121200003</v>
      </c>
      <c r="G129" s="5">
        <v>7375186.7695824997</v>
      </c>
    </row>
    <row r="130" spans="1:7" x14ac:dyDescent="0.15">
      <c r="A130" s="3">
        <v>75000</v>
      </c>
      <c r="B130" s="5">
        <v>2575.5954393900001</v>
      </c>
      <c r="C130" s="5">
        <v>4359491.8291790001</v>
      </c>
      <c r="D130" s="5">
        <v>0</v>
      </c>
      <c r="E130" s="5">
        <v>0</v>
      </c>
      <c r="F130" s="5">
        <v>0</v>
      </c>
      <c r="G130" s="5">
        <v>0</v>
      </c>
    </row>
    <row r="131" spans="1:7" x14ac:dyDescent="0.15">
      <c r="A131" s="3">
        <v>77010</v>
      </c>
      <c r="B131" s="5">
        <v>306.74880815</v>
      </c>
      <c r="C131" s="5">
        <v>147239.42791200001</v>
      </c>
      <c r="D131" s="5">
        <v>0</v>
      </c>
      <c r="E131" s="5">
        <v>0</v>
      </c>
      <c r="F131" s="5">
        <v>306.74880815</v>
      </c>
      <c r="G131" s="5">
        <v>147239.42791200001</v>
      </c>
    </row>
    <row r="132" spans="1:7" x14ac:dyDescent="0.15">
      <c r="A132" s="3">
        <v>77020</v>
      </c>
      <c r="B132" s="5">
        <v>1439.0857226999999</v>
      </c>
      <c r="C132" s="5">
        <v>3851699.8092390001</v>
      </c>
      <c r="D132" s="5">
        <v>0</v>
      </c>
      <c r="E132" s="5">
        <v>0</v>
      </c>
      <c r="F132" s="5">
        <v>0</v>
      </c>
      <c r="G132" s="5">
        <v>0</v>
      </c>
    </row>
    <row r="133" spans="1:7" x14ac:dyDescent="0.15">
      <c r="A133" s="3">
        <v>78000</v>
      </c>
      <c r="B133" s="5">
        <v>34907.281243789999</v>
      </c>
      <c r="C133" s="5">
        <v>52083131.344007798</v>
      </c>
      <c r="D133" s="5">
        <v>0</v>
      </c>
      <c r="E133" s="5">
        <v>0</v>
      </c>
      <c r="F133" s="5">
        <v>0</v>
      </c>
      <c r="G133" s="5">
        <v>0</v>
      </c>
    </row>
    <row r="134" spans="1:7" x14ac:dyDescent="0.15">
      <c r="A134" s="3">
        <v>79000</v>
      </c>
      <c r="B134" s="5">
        <v>2252.3783971799999</v>
      </c>
      <c r="C134" s="5">
        <v>4332676.5084100002</v>
      </c>
      <c r="D134" s="5">
        <v>0</v>
      </c>
      <c r="E134" s="5">
        <v>0</v>
      </c>
      <c r="F134" s="5">
        <v>0</v>
      </c>
      <c r="G134" s="5">
        <v>0</v>
      </c>
    </row>
    <row r="135" spans="1:7" x14ac:dyDescent="0.15">
      <c r="A135" s="3">
        <v>80000</v>
      </c>
      <c r="B135" s="5">
        <v>17538.50275589</v>
      </c>
      <c r="C135" s="5">
        <v>27501537.690885499</v>
      </c>
      <c r="D135" s="5">
        <v>0</v>
      </c>
      <c r="E135" s="5">
        <v>0</v>
      </c>
      <c r="F135" s="5">
        <v>1761.6681039699999</v>
      </c>
      <c r="G135" s="5">
        <v>2782135.86937</v>
      </c>
    </row>
    <row r="136" spans="1:7" x14ac:dyDescent="0.15">
      <c r="A136" s="3">
        <v>81011</v>
      </c>
      <c r="B136" s="5">
        <v>37044.856735510002</v>
      </c>
      <c r="C136" s="5">
        <v>45168862.686969601</v>
      </c>
      <c r="D136" s="5">
        <v>0</v>
      </c>
      <c r="E136" s="5">
        <v>0</v>
      </c>
      <c r="F136" s="5">
        <v>6704.1617669400002</v>
      </c>
      <c r="G136" s="5">
        <v>4077149.4141675001</v>
      </c>
    </row>
    <row r="137" spans="1:7" x14ac:dyDescent="0.15">
      <c r="A137" s="3">
        <v>81012</v>
      </c>
      <c r="B137" s="5">
        <v>25246.071636140001</v>
      </c>
      <c r="C137" s="5">
        <v>31998046.7603507</v>
      </c>
      <c r="D137" s="5">
        <v>0</v>
      </c>
      <c r="E137" s="5">
        <v>0</v>
      </c>
      <c r="F137" s="5">
        <v>0</v>
      </c>
      <c r="G137" s="5">
        <v>0</v>
      </c>
    </row>
    <row r="138" spans="1:7" x14ac:dyDescent="0.15">
      <c r="A138" s="3">
        <v>81020</v>
      </c>
      <c r="B138" s="5">
        <v>2797.5623446899999</v>
      </c>
      <c r="C138" s="5">
        <v>3077318.579159</v>
      </c>
      <c r="D138" s="5">
        <v>0</v>
      </c>
      <c r="E138" s="5">
        <v>0</v>
      </c>
      <c r="F138" s="5">
        <v>0</v>
      </c>
      <c r="G138" s="5">
        <v>0</v>
      </c>
    </row>
    <row r="139" spans="1:7" x14ac:dyDescent="0.15">
      <c r="A139" s="3">
        <v>82001</v>
      </c>
      <c r="B139" s="5">
        <v>3145.6395248899998</v>
      </c>
      <c r="C139" s="5">
        <v>6826691.3326730002</v>
      </c>
      <c r="D139" s="5">
        <v>0</v>
      </c>
      <c r="E139" s="5">
        <v>0</v>
      </c>
      <c r="F139" s="5">
        <v>1996.08408811</v>
      </c>
      <c r="G139" s="5">
        <v>5562180.3522150004</v>
      </c>
    </row>
    <row r="140" spans="1:7" x14ac:dyDescent="0.15">
      <c r="A140" s="3">
        <v>82002</v>
      </c>
      <c r="B140" s="5">
        <v>11888.925392519999</v>
      </c>
      <c r="C140" s="5">
        <v>13485921.074618001</v>
      </c>
      <c r="D140" s="5">
        <v>0</v>
      </c>
      <c r="E140" s="5">
        <v>0</v>
      </c>
      <c r="F140" s="5">
        <v>0</v>
      </c>
      <c r="G140" s="5">
        <v>0</v>
      </c>
    </row>
    <row r="141" spans="1:7" x14ac:dyDescent="0.15">
      <c r="A141" s="3">
        <v>82003</v>
      </c>
      <c r="B141" s="5">
        <v>4041.40591636</v>
      </c>
      <c r="C141" s="5">
        <v>2104572.5092042498</v>
      </c>
      <c r="D141" s="5">
        <v>0</v>
      </c>
      <c r="E141" s="5">
        <v>0</v>
      </c>
      <c r="F141" s="5">
        <v>1040.51726751</v>
      </c>
      <c r="G141" s="5">
        <v>294316.55907600001</v>
      </c>
    </row>
    <row r="142" spans="1:7" x14ac:dyDescent="0.15">
      <c r="A142" s="3">
        <v>82009</v>
      </c>
      <c r="B142" s="5">
        <v>4422.4407351</v>
      </c>
      <c r="C142" s="5">
        <v>5404454.283144</v>
      </c>
      <c r="D142" s="5">
        <v>0</v>
      </c>
      <c r="E142" s="5">
        <v>0</v>
      </c>
      <c r="F142" s="5">
        <v>386.24802256999999</v>
      </c>
      <c r="G142" s="5">
        <v>347623.22031300003</v>
      </c>
    </row>
    <row r="143" spans="1:7" x14ac:dyDescent="0.15">
      <c r="A143" s="3">
        <v>84011</v>
      </c>
      <c r="B143" s="5">
        <v>4136.7358864899998</v>
      </c>
      <c r="C143" s="5">
        <v>25177511.159706999</v>
      </c>
      <c r="D143" s="5">
        <v>0</v>
      </c>
      <c r="E143" s="5">
        <v>0</v>
      </c>
      <c r="F143" s="5">
        <v>0</v>
      </c>
      <c r="G143" s="5">
        <v>0</v>
      </c>
    </row>
    <row r="144" spans="1:7" x14ac:dyDescent="0.15">
      <c r="A144" s="3">
        <v>84012</v>
      </c>
      <c r="B144" s="5">
        <v>13119.703180959999</v>
      </c>
      <c r="C144" s="5">
        <v>85412457.516820595</v>
      </c>
      <c r="D144" s="5">
        <v>0</v>
      </c>
      <c r="E144" s="5">
        <v>0</v>
      </c>
      <c r="F144" s="5">
        <v>0</v>
      </c>
      <c r="G144" s="5">
        <v>0</v>
      </c>
    </row>
    <row r="145" spans="1:7" x14ac:dyDescent="0.15">
      <c r="A145" s="3">
        <v>84013</v>
      </c>
      <c r="B145" s="5">
        <v>116708.42858275</v>
      </c>
      <c r="C145" s="5">
        <v>223881237.82001901</v>
      </c>
      <c r="D145" s="5">
        <v>0</v>
      </c>
      <c r="E145" s="5">
        <v>0</v>
      </c>
      <c r="F145" s="5">
        <v>0</v>
      </c>
      <c r="G145" s="5">
        <v>0</v>
      </c>
    </row>
    <row r="146" spans="1:7" x14ac:dyDescent="0.15">
      <c r="A146" s="3">
        <v>84014</v>
      </c>
      <c r="B146" s="5">
        <v>8218.8823219599999</v>
      </c>
      <c r="C146" s="5">
        <v>42919405.226046003</v>
      </c>
      <c r="D146" s="5">
        <v>0</v>
      </c>
      <c r="E146" s="5">
        <v>0</v>
      </c>
      <c r="F146" s="5">
        <v>0</v>
      </c>
      <c r="G146" s="5">
        <v>0</v>
      </c>
    </row>
    <row r="147" spans="1:7" x14ac:dyDescent="0.15">
      <c r="A147" s="3">
        <v>84015</v>
      </c>
      <c r="B147" s="5">
        <v>4048.78537865</v>
      </c>
      <c r="C147" s="5">
        <v>50996273.379698001</v>
      </c>
      <c r="D147" s="5">
        <v>0</v>
      </c>
      <c r="E147" s="5">
        <v>0</v>
      </c>
      <c r="F147" s="5">
        <v>0</v>
      </c>
      <c r="G147" s="5">
        <v>0</v>
      </c>
    </row>
    <row r="148" spans="1:7" x14ac:dyDescent="0.15">
      <c r="A148" s="3">
        <v>84016</v>
      </c>
      <c r="B148" s="5">
        <v>44162.883928219999</v>
      </c>
      <c r="C148" s="5">
        <v>219594611.46529999</v>
      </c>
      <c r="D148" s="5">
        <v>0</v>
      </c>
      <c r="E148" s="5">
        <v>0</v>
      </c>
      <c r="F148" s="5">
        <v>0</v>
      </c>
      <c r="G148" s="5">
        <v>0</v>
      </c>
    </row>
    <row r="149" spans="1:7" x14ac:dyDescent="0.15">
      <c r="A149" s="3">
        <v>84017</v>
      </c>
      <c r="B149" s="5">
        <v>5230.1948289399998</v>
      </c>
      <c r="C149" s="5">
        <v>11057903.216936899</v>
      </c>
      <c r="D149" s="5">
        <v>0</v>
      </c>
      <c r="E149" s="5">
        <v>0</v>
      </c>
      <c r="F149" s="5">
        <v>0</v>
      </c>
      <c r="G149" s="5">
        <v>0</v>
      </c>
    </row>
    <row r="150" spans="1:7" x14ac:dyDescent="0.15">
      <c r="A150" s="3">
        <v>84020</v>
      </c>
      <c r="B150" s="5">
        <v>1434.1671614300001</v>
      </c>
      <c r="C150" s="5">
        <v>6897883.0460860003</v>
      </c>
      <c r="D150" s="5">
        <v>0</v>
      </c>
      <c r="E150" s="5">
        <v>0</v>
      </c>
      <c r="F150" s="5">
        <v>0</v>
      </c>
      <c r="G150" s="5">
        <v>0</v>
      </c>
    </row>
    <row r="151" spans="1:7" x14ac:dyDescent="0.15">
      <c r="A151" s="3">
        <v>85011</v>
      </c>
      <c r="B151" s="5">
        <v>3614.2117225000002</v>
      </c>
      <c r="C151" s="5">
        <v>3852082.0964235999</v>
      </c>
      <c r="D151" s="5">
        <v>0</v>
      </c>
      <c r="E151" s="5">
        <v>0</v>
      </c>
      <c r="F151" s="5">
        <v>0</v>
      </c>
      <c r="G151" s="5">
        <v>0</v>
      </c>
    </row>
    <row r="152" spans="1:7" x14ac:dyDescent="0.15">
      <c r="A152" s="3">
        <v>85012</v>
      </c>
      <c r="B152" s="5">
        <v>99356.866943739995</v>
      </c>
      <c r="C152" s="5">
        <v>227694594.835327</v>
      </c>
      <c r="D152" s="5">
        <v>0</v>
      </c>
      <c r="E152" s="5">
        <v>0</v>
      </c>
      <c r="F152" s="5">
        <v>0</v>
      </c>
      <c r="G152" s="5">
        <v>0</v>
      </c>
    </row>
    <row r="153" spans="1:7" x14ac:dyDescent="0.15">
      <c r="A153" s="3">
        <v>85013</v>
      </c>
      <c r="B153" s="5">
        <v>45416.270056100002</v>
      </c>
      <c r="C153" s="5">
        <v>145516547.64783701</v>
      </c>
      <c r="D153" s="5">
        <v>0</v>
      </c>
      <c r="E153" s="5">
        <v>0</v>
      </c>
      <c r="F153" s="5">
        <v>0</v>
      </c>
      <c r="G153" s="5">
        <v>0</v>
      </c>
    </row>
    <row r="154" spans="1:7" x14ac:dyDescent="0.15">
      <c r="A154" s="3">
        <v>85014</v>
      </c>
      <c r="B154" s="5">
        <v>20931.052509519999</v>
      </c>
      <c r="C154" s="5">
        <v>70215357.630080506</v>
      </c>
      <c r="D154" s="5">
        <v>0</v>
      </c>
      <c r="E154" s="5">
        <v>0</v>
      </c>
      <c r="F154" s="5">
        <v>0</v>
      </c>
      <c r="G154" s="5">
        <v>0</v>
      </c>
    </row>
    <row r="155" spans="1:7" x14ac:dyDescent="0.15">
      <c r="A155" s="3">
        <v>85029</v>
      </c>
      <c r="B155" s="5">
        <v>19314.966793209998</v>
      </c>
      <c r="C155" s="5">
        <v>27507375.024152599</v>
      </c>
      <c r="D155" s="5">
        <v>0</v>
      </c>
      <c r="E155" s="5">
        <v>0</v>
      </c>
      <c r="F155" s="5">
        <v>9999.7518798100009</v>
      </c>
      <c r="G155" s="5">
        <v>7098395.1169445999</v>
      </c>
    </row>
    <row r="156" spans="1:7" x14ac:dyDescent="0.15">
      <c r="A156" s="3">
        <v>86001</v>
      </c>
      <c r="B156" s="5">
        <v>84133.314328790002</v>
      </c>
      <c r="C156" s="5">
        <v>264390781.67100999</v>
      </c>
      <c r="D156" s="5">
        <v>0</v>
      </c>
      <c r="E156" s="5">
        <v>0</v>
      </c>
      <c r="F156" s="5">
        <v>0</v>
      </c>
      <c r="G156" s="5">
        <v>0</v>
      </c>
    </row>
    <row r="157" spans="1:7" x14ac:dyDescent="0.15">
      <c r="A157" s="3">
        <v>86002</v>
      </c>
      <c r="B157" s="5">
        <v>42844.56143781</v>
      </c>
      <c r="C157" s="5">
        <v>103314324.53992499</v>
      </c>
      <c r="D157" s="5">
        <v>1827.0339649800001</v>
      </c>
      <c r="E157" s="5">
        <v>13968609.785424</v>
      </c>
      <c r="F157" s="5">
        <v>164.99045727999999</v>
      </c>
      <c r="G157" s="5">
        <v>544468.50902400003</v>
      </c>
    </row>
    <row r="158" spans="1:7" x14ac:dyDescent="0.15">
      <c r="A158" s="3">
        <v>86003</v>
      </c>
      <c r="B158" s="5">
        <v>5004.1561532100004</v>
      </c>
      <c r="C158" s="5">
        <v>9430281.5690400004</v>
      </c>
      <c r="D158" s="5">
        <v>0</v>
      </c>
      <c r="E158" s="5">
        <v>0</v>
      </c>
      <c r="F158" s="5">
        <v>0</v>
      </c>
      <c r="G158" s="5">
        <v>0</v>
      </c>
    </row>
    <row r="159" spans="1:7" x14ac:dyDescent="0.15">
      <c r="A159" s="3">
        <v>86004</v>
      </c>
      <c r="B159" s="5">
        <v>14847.575683610001</v>
      </c>
      <c r="C159" s="5">
        <v>37982344.594999999</v>
      </c>
      <c r="D159" s="5">
        <v>0</v>
      </c>
      <c r="E159" s="5">
        <v>0</v>
      </c>
      <c r="F159" s="5">
        <v>7280.3654034199999</v>
      </c>
      <c r="G159" s="5">
        <v>22502811.921657</v>
      </c>
    </row>
    <row r="160" spans="1:7" x14ac:dyDescent="0.15">
      <c r="A160" s="3">
        <v>86009</v>
      </c>
      <c r="B160" s="5">
        <v>1168.5135747899999</v>
      </c>
      <c r="C160" s="5">
        <v>766011.05324759998</v>
      </c>
      <c r="D160" s="5">
        <v>0</v>
      </c>
      <c r="E160" s="5">
        <v>0</v>
      </c>
      <c r="F160" s="5">
        <v>1168.5135747899999</v>
      </c>
      <c r="G160" s="5">
        <v>766011.05324759998</v>
      </c>
    </row>
    <row r="161" spans="1:7" x14ac:dyDescent="0.15">
      <c r="A161" s="3">
        <v>87000</v>
      </c>
      <c r="B161" s="5">
        <v>5914.7620962499996</v>
      </c>
      <c r="C161" s="5">
        <v>10081424.962706</v>
      </c>
      <c r="D161" s="5">
        <v>0</v>
      </c>
      <c r="E161" s="5">
        <v>0</v>
      </c>
      <c r="F161" s="5">
        <v>0</v>
      </c>
      <c r="G161" s="5">
        <v>0</v>
      </c>
    </row>
    <row r="162" spans="1:7" x14ac:dyDescent="0.15">
      <c r="A162" s="3">
        <v>88000</v>
      </c>
      <c r="B162" s="5">
        <v>421.1477185</v>
      </c>
      <c r="C162" s="5">
        <v>631721.57775000005</v>
      </c>
      <c r="D162" s="5">
        <v>0</v>
      </c>
      <c r="E162" s="5">
        <v>0</v>
      </c>
      <c r="F162" s="5">
        <v>0</v>
      </c>
      <c r="G162" s="5">
        <v>0</v>
      </c>
    </row>
    <row r="163" spans="1:7" x14ac:dyDescent="0.15">
      <c r="A163" s="3">
        <v>90000</v>
      </c>
      <c r="B163" s="5">
        <v>4475.1537648200001</v>
      </c>
      <c r="C163" s="5">
        <v>6954676.2134849997</v>
      </c>
      <c r="D163" s="5">
        <v>0</v>
      </c>
      <c r="E163" s="5">
        <v>0</v>
      </c>
      <c r="F163" s="5">
        <v>3459.0851275800001</v>
      </c>
      <c r="G163" s="5">
        <v>4855911.1710029999</v>
      </c>
    </row>
    <row r="164" spans="1:7" x14ac:dyDescent="0.15">
      <c r="A164" s="3">
        <v>91000</v>
      </c>
      <c r="B164" s="5">
        <v>1288.23314368</v>
      </c>
      <c r="C164" s="5">
        <v>1535868.994768</v>
      </c>
      <c r="D164" s="5">
        <v>0</v>
      </c>
      <c r="E164" s="5">
        <v>0</v>
      </c>
      <c r="F164" s="5">
        <v>0</v>
      </c>
      <c r="G164" s="5">
        <v>0</v>
      </c>
    </row>
    <row r="165" spans="1:7" x14ac:dyDescent="0.15">
      <c r="A165" s="3">
        <v>92000</v>
      </c>
      <c r="B165" s="5">
        <v>12296.133376100001</v>
      </c>
      <c r="C165" s="5">
        <v>10144296.9680364</v>
      </c>
      <c r="D165" s="5">
        <v>0</v>
      </c>
      <c r="E165" s="5">
        <v>0</v>
      </c>
      <c r="F165" s="5">
        <v>3240.1828894700002</v>
      </c>
      <c r="G165" s="5">
        <v>2376910.3303193999</v>
      </c>
    </row>
    <row r="166" spans="1:7" x14ac:dyDescent="0.15">
      <c r="A166" s="3">
        <v>93011</v>
      </c>
      <c r="B166" s="5">
        <v>1641.73122646</v>
      </c>
      <c r="C166" s="5">
        <v>1864084.765071</v>
      </c>
      <c r="D166" s="5">
        <v>0</v>
      </c>
      <c r="E166" s="5">
        <v>0</v>
      </c>
      <c r="F166" s="5">
        <v>1059.92706681</v>
      </c>
      <c r="G166" s="5">
        <v>1165919.7734910001</v>
      </c>
    </row>
    <row r="167" spans="1:7" x14ac:dyDescent="0.15">
      <c r="A167" s="3">
        <v>93012</v>
      </c>
      <c r="B167" s="5">
        <v>14918.732987879999</v>
      </c>
      <c r="C167" s="5">
        <v>32319775.151292801</v>
      </c>
      <c r="D167" s="5">
        <v>0</v>
      </c>
      <c r="E167" s="5">
        <v>0</v>
      </c>
      <c r="F167" s="5">
        <v>2456.9914508000002</v>
      </c>
      <c r="G167" s="5">
        <v>8095623.0093879998</v>
      </c>
    </row>
    <row r="168" spans="1:7" x14ac:dyDescent="0.15">
      <c r="A168" s="3">
        <v>93020</v>
      </c>
      <c r="B168" s="5">
        <v>2861.4045252599999</v>
      </c>
      <c r="C168" s="5">
        <v>7286010.3954680003</v>
      </c>
      <c r="D168" s="5">
        <v>0</v>
      </c>
      <c r="E168" s="5">
        <v>0</v>
      </c>
      <c r="F168" s="5">
        <v>1669.55289988</v>
      </c>
      <c r="G168" s="5">
        <v>5855788.4450120004</v>
      </c>
    </row>
    <row r="169" spans="1:7" x14ac:dyDescent="0.15">
      <c r="A169" s="3">
        <v>94020</v>
      </c>
      <c r="B169" s="5">
        <v>1820.8791302699999</v>
      </c>
      <c r="C169" s="5">
        <v>2764105.1312819999</v>
      </c>
      <c r="D169" s="5">
        <v>0</v>
      </c>
      <c r="E169" s="5">
        <v>0</v>
      </c>
      <c r="F169" s="5">
        <v>0</v>
      </c>
      <c r="G169" s="5">
        <v>0</v>
      </c>
    </row>
    <row r="170" spans="1:7" x14ac:dyDescent="0.15">
      <c r="A170" s="3">
        <v>94091</v>
      </c>
      <c r="B170" s="5">
        <v>4181.7692852600003</v>
      </c>
      <c r="C170" s="5">
        <v>12910080.69689</v>
      </c>
      <c r="D170" s="5">
        <v>0</v>
      </c>
      <c r="E170" s="5">
        <v>0</v>
      </c>
      <c r="F170" s="5">
        <v>711.6146473</v>
      </c>
      <c r="G170" s="5">
        <v>293321.86281299999</v>
      </c>
    </row>
    <row r="171" spans="1:7" x14ac:dyDescent="0.15">
      <c r="A171" s="3">
        <v>94099</v>
      </c>
      <c r="B171" s="5">
        <v>2027.0982295199999</v>
      </c>
      <c r="C171" s="5">
        <v>6107153.7045200001</v>
      </c>
      <c r="D171" s="5">
        <v>0</v>
      </c>
      <c r="E171" s="5">
        <v>0</v>
      </c>
      <c r="F171" s="5">
        <v>0</v>
      </c>
      <c r="G171" s="5">
        <v>0</v>
      </c>
    </row>
    <row r="172" spans="1:7" x14ac:dyDescent="0.15">
      <c r="A172" s="3">
        <v>95010</v>
      </c>
      <c r="B172" s="5">
        <v>7539.7847498900001</v>
      </c>
      <c r="C172" s="5">
        <v>11254151.013897499</v>
      </c>
      <c r="D172" s="5">
        <v>963.71147636000001</v>
      </c>
      <c r="E172" s="5">
        <v>1445567.2145400001</v>
      </c>
      <c r="F172" s="5">
        <v>4308.1539717300002</v>
      </c>
      <c r="G172" s="5">
        <v>7638681.1920389999</v>
      </c>
    </row>
    <row r="173" spans="1:7" x14ac:dyDescent="0.15">
      <c r="A173" s="3">
        <v>95030</v>
      </c>
      <c r="B173" s="5">
        <v>26026.122590110001</v>
      </c>
      <c r="C173" s="5">
        <v>69746474.852823406</v>
      </c>
      <c r="D173" s="5">
        <v>0</v>
      </c>
      <c r="E173" s="5">
        <v>0</v>
      </c>
      <c r="F173" s="5">
        <v>23289.082757420001</v>
      </c>
      <c r="G173" s="5">
        <v>66235051.858335398</v>
      </c>
    </row>
    <row r="174" spans="1:7" x14ac:dyDescent="0.15">
      <c r="A174" s="3">
        <v>96010</v>
      </c>
      <c r="B174" s="5">
        <v>4426.4972844599997</v>
      </c>
      <c r="C174" s="5">
        <v>4265657.3447310003</v>
      </c>
      <c r="D174" s="5">
        <v>0</v>
      </c>
      <c r="E174" s="5">
        <v>0</v>
      </c>
      <c r="F174" s="5">
        <v>438.29258195</v>
      </c>
      <c r="G174" s="5">
        <v>350634.06556000002</v>
      </c>
    </row>
    <row r="175" spans="1:7" x14ac:dyDescent="0.15">
      <c r="A175" s="3">
        <v>96020</v>
      </c>
      <c r="B175" s="5">
        <v>90401.269965639993</v>
      </c>
      <c r="C175" s="5">
        <v>99702716.705440596</v>
      </c>
      <c r="D175" s="5">
        <v>994.97187800999995</v>
      </c>
      <c r="E175" s="5">
        <v>1094469.0658110001</v>
      </c>
      <c r="F175" s="5">
        <v>78939.339618590006</v>
      </c>
      <c r="G175" s="5">
        <v>73281093.505129099</v>
      </c>
    </row>
    <row r="176" spans="1:7" x14ac:dyDescent="0.15">
      <c r="A176" s="3">
        <v>96030</v>
      </c>
      <c r="B176" s="5">
        <v>4351.4375696799998</v>
      </c>
      <c r="C176" s="5">
        <v>4867158.1667366</v>
      </c>
      <c r="D176" s="5">
        <v>0</v>
      </c>
      <c r="E176" s="5">
        <v>0</v>
      </c>
      <c r="F176" s="5">
        <v>0</v>
      </c>
      <c r="G176" s="5">
        <v>0</v>
      </c>
    </row>
    <row r="177" spans="1:7" x14ac:dyDescent="0.15">
      <c r="A177" s="3">
        <v>96090</v>
      </c>
      <c r="B177" s="5">
        <v>9532.9622228699991</v>
      </c>
      <c r="C177" s="5">
        <v>14380250.2089194</v>
      </c>
      <c r="D177" s="5">
        <v>767.80077267000001</v>
      </c>
      <c r="E177" s="5">
        <v>1151701.159005</v>
      </c>
      <c r="F177" s="5">
        <v>4698.0593436099998</v>
      </c>
      <c r="G177" s="5">
        <v>5733236.4801318003</v>
      </c>
    </row>
    <row r="178" spans="1:7" x14ac:dyDescent="0.15">
      <c r="A178" s="3">
        <v>97000</v>
      </c>
      <c r="B178" s="5">
        <v>172310.36391995</v>
      </c>
      <c r="C178" s="5">
        <v>114460175.876582</v>
      </c>
      <c r="D178" s="5">
        <v>0</v>
      </c>
      <c r="E178" s="5">
        <v>0</v>
      </c>
      <c r="F178" s="5">
        <v>0</v>
      </c>
      <c r="G178" s="5">
        <v>0</v>
      </c>
    </row>
    <row r="179" spans="1:7" x14ac:dyDescent="0.15">
      <c r="A179" s="10" t="s">
        <v>25</v>
      </c>
      <c r="B179" s="12">
        <f>SUM(B2:B178)</f>
        <v>3286021.8466850002</v>
      </c>
      <c r="C179" s="12">
        <f t="shared" ref="C179:G179" si="0">SUM(C2:C178)</f>
        <v>5451251965.8304863</v>
      </c>
      <c r="D179" s="12">
        <f t="shared" si="0"/>
        <v>31366.624674600003</v>
      </c>
      <c r="E179" s="12">
        <f t="shared" si="0"/>
        <v>583863376.168859</v>
      </c>
      <c r="F179" s="12">
        <f t="shared" si="0"/>
        <v>1096332.8083393497</v>
      </c>
      <c r="G179" s="12">
        <f t="shared" si="0"/>
        <v>1251645191.3427403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5"/>
  <sheetViews>
    <sheetView topLeftCell="A144" zoomScale="110" zoomScaleNormal="110" workbookViewId="0">
      <selection activeCell="E183" sqref="E183"/>
    </sheetView>
  </sheetViews>
  <sheetFormatPr baseColWidth="10" defaultColWidth="11.5" defaultRowHeight="13" x14ac:dyDescent="0.15"/>
  <cols>
    <col min="1" max="1" width="8.33203125" customWidth="1"/>
    <col min="2" max="2" width="31" customWidth="1"/>
    <col min="3" max="3" width="16.1640625" customWidth="1"/>
    <col min="4" max="4" width="18.83203125" customWidth="1"/>
    <col min="5" max="5" width="22.33203125" customWidth="1"/>
    <col min="6" max="6" width="20.1640625" customWidth="1"/>
    <col min="7" max="7" width="23.8320312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s="3">
        <v>0</v>
      </c>
      <c r="B2" s="5">
        <v>6985.6256511600004</v>
      </c>
      <c r="C2" s="5">
        <v>6253228.7301395005</v>
      </c>
      <c r="D2" s="5">
        <v>0</v>
      </c>
      <c r="E2" s="5">
        <v>0</v>
      </c>
      <c r="F2" s="5">
        <v>4577.5518898800001</v>
      </c>
      <c r="G2" s="5">
        <v>2664505.1955149998</v>
      </c>
    </row>
    <row r="3" spans="1:7" x14ac:dyDescent="0.15">
      <c r="A3" s="3">
        <v>1102</v>
      </c>
      <c r="B3" s="5">
        <v>55367.203821429997</v>
      </c>
      <c r="C3" s="5">
        <v>17634949.821390901</v>
      </c>
      <c r="D3" s="5">
        <v>162.82400358000001</v>
      </c>
      <c r="E3" s="5">
        <v>16282.400358000001</v>
      </c>
      <c r="F3" s="5">
        <v>38036.67505012</v>
      </c>
      <c r="G3" s="5">
        <v>11395814.05501</v>
      </c>
    </row>
    <row r="4" spans="1:7" x14ac:dyDescent="0.15">
      <c r="A4" s="3">
        <v>1103</v>
      </c>
      <c r="B4" s="5">
        <v>273.39497418000002</v>
      </c>
      <c r="C4" s="5">
        <v>300734.47159799997</v>
      </c>
      <c r="D4" s="5">
        <v>0</v>
      </c>
      <c r="E4" s="5">
        <v>0</v>
      </c>
      <c r="F4" s="5">
        <v>0</v>
      </c>
      <c r="G4" s="5">
        <v>0</v>
      </c>
    </row>
    <row r="5" spans="1:7" x14ac:dyDescent="0.15">
      <c r="A5" s="3">
        <v>1105</v>
      </c>
      <c r="B5" s="5">
        <v>33576.711368160002</v>
      </c>
      <c r="C5" s="5">
        <v>43744625.968301997</v>
      </c>
      <c r="D5" s="5">
        <v>0</v>
      </c>
      <c r="E5" s="5">
        <v>0</v>
      </c>
      <c r="F5" s="5">
        <v>2735.8655817399999</v>
      </c>
      <c r="G5" s="5">
        <v>2818431.1119969999</v>
      </c>
    </row>
    <row r="6" spans="1:7" x14ac:dyDescent="0.15">
      <c r="A6" s="3">
        <v>1108</v>
      </c>
      <c r="B6" s="5">
        <v>31468.328457570002</v>
      </c>
      <c r="C6" s="5">
        <v>10482047.3631834</v>
      </c>
      <c r="D6" s="5">
        <v>0</v>
      </c>
      <c r="E6" s="5">
        <v>0</v>
      </c>
      <c r="F6" s="5">
        <v>22371.996688269999</v>
      </c>
      <c r="G6" s="5">
        <v>9011122.3383450508</v>
      </c>
    </row>
    <row r="7" spans="1:7" x14ac:dyDescent="0.15">
      <c r="A7" s="3">
        <v>1109</v>
      </c>
      <c r="B7" s="5">
        <v>83460.357258250006</v>
      </c>
      <c r="C7" s="5">
        <v>25029592.595737301</v>
      </c>
      <c r="D7" s="5">
        <v>0</v>
      </c>
      <c r="E7" s="5">
        <v>0</v>
      </c>
      <c r="F7" s="5">
        <v>59191.742687509999</v>
      </c>
      <c r="G7" s="5">
        <v>17560766.903219599</v>
      </c>
    </row>
    <row r="8" spans="1:7" x14ac:dyDescent="0.15">
      <c r="A8" s="3">
        <v>1110</v>
      </c>
      <c r="B8" s="5">
        <v>18272.326324940001</v>
      </c>
      <c r="C8" s="5">
        <v>10255290.094183199</v>
      </c>
      <c r="D8" s="5">
        <v>0</v>
      </c>
      <c r="E8" s="5">
        <v>0</v>
      </c>
      <c r="F8" s="5">
        <v>10380.42674323</v>
      </c>
      <c r="G8" s="5">
        <v>8061920.4060656996</v>
      </c>
    </row>
    <row r="9" spans="1:7" x14ac:dyDescent="0.15">
      <c r="A9" s="3">
        <v>1111</v>
      </c>
      <c r="B9" s="5">
        <v>4144.8737423499997</v>
      </c>
      <c r="C9" s="5">
        <v>3201327.3679427002</v>
      </c>
      <c r="D9" s="5">
        <v>0</v>
      </c>
      <c r="E9" s="5">
        <v>0</v>
      </c>
      <c r="F9" s="5">
        <v>2451.6563735300001</v>
      </c>
      <c r="G9" s="5">
        <v>2428190.4281505002</v>
      </c>
    </row>
    <row r="10" spans="1:7" x14ac:dyDescent="0.15">
      <c r="A10" s="3">
        <v>1112</v>
      </c>
      <c r="B10" s="5">
        <v>702.23086649000004</v>
      </c>
      <c r="C10" s="5">
        <v>1345789.700952</v>
      </c>
      <c r="D10" s="5">
        <v>0</v>
      </c>
      <c r="E10" s="5">
        <v>0</v>
      </c>
      <c r="F10" s="5">
        <v>214.45969169</v>
      </c>
      <c r="G10" s="5">
        <v>386027.44504199998</v>
      </c>
    </row>
    <row r="11" spans="1:7" x14ac:dyDescent="0.15">
      <c r="A11" s="3">
        <v>1115</v>
      </c>
      <c r="B11" s="5">
        <v>19430.239519499999</v>
      </c>
      <c r="C11" s="5">
        <v>35670576.101982303</v>
      </c>
      <c r="D11" s="5">
        <v>0</v>
      </c>
      <c r="E11" s="5">
        <v>0</v>
      </c>
      <c r="F11" s="5">
        <v>1201.73459228</v>
      </c>
      <c r="G11" s="5">
        <v>1176383.383931</v>
      </c>
    </row>
    <row r="12" spans="1:7" x14ac:dyDescent="0.15">
      <c r="A12" s="3">
        <v>1116</v>
      </c>
      <c r="B12" s="5">
        <v>20414.66312221</v>
      </c>
      <c r="C12" s="5">
        <v>14062359.3016237</v>
      </c>
      <c r="D12" s="5">
        <v>0</v>
      </c>
      <c r="E12" s="5">
        <v>0</v>
      </c>
      <c r="F12" s="5">
        <v>13739.216779460001</v>
      </c>
      <c r="G12" s="5">
        <v>9026678.5586738996</v>
      </c>
    </row>
    <row r="13" spans="1:7" x14ac:dyDescent="0.15">
      <c r="A13" s="3">
        <v>1117</v>
      </c>
      <c r="B13" s="5">
        <v>27597.92475192</v>
      </c>
      <c r="C13" s="5">
        <v>14150201.3819649</v>
      </c>
      <c r="D13" s="5">
        <v>205.52184449000001</v>
      </c>
      <c r="E13" s="5">
        <v>411043.68897999998</v>
      </c>
      <c r="F13" s="5">
        <v>3373.25279581</v>
      </c>
      <c r="G13" s="5">
        <v>2167832.4843870001</v>
      </c>
    </row>
    <row r="14" spans="1:7" x14ac:dyDescent="0.15">
      <c r="A14" s="3">
        <v>1119</v>
      </c>
      <c r="B14" s="5">
        <v>13650.42025553</v>
      </c>
      <c r="C14" s="5">
        <v>8414189.1751233004</v>
      </c>
      <c r="D14" s="5">
        <v>0</v>
      </c>
      <c r="E14" s="5">
        <v>0</v>
      </c>
      <c r="F14" s="5">
        <v>8591.9211050199992</v>
      </c>
      <c r="G14" s="5">
        <v>4793254.5564374002</v>
      </c>
    </row>
    <row r="15" spans="1:7" x14ac:dyDescent="0.15">
      <c r="A15" s="3">
        <v>1201</v>
      </c>
      <c r="B15" s="5">
        <v>29490.005629309999</v>
      </c>
      <c r="C15" s="5">
        <v>27942928.668013599</v>
      </c>
      <c r="D15" s="5">
        <v>0</v>
      </c>
      <c r="E15" s="5">
        <v>0</v>
      </c>
      <c r="F15" s="5">
        <v>9951.4872974000009</v>
      </c>
      <c r="G15" s="5">
        <v>7616650.7286630003</v>
      </c>
    </row>
    <row r="16" spans="1:7" x14ac:dyDescent="0.15">
      <c r="A16" s="3">
        <v>1202</v>
      </c>
      <c r="B16" s="5">
        <v>818.14949085000001</v>
      </c>
      <c r="C16" s="5">
        <v>455090.492532</v>
      </c>
      <c r="D16" s="5">
        <v>0</v>
      </c>
      <c r="E16" s="5">
        <v>0</v>
      </c>
      <c r="F16" s="5">
        <v>213.05116032000001</v>
      </c>
      <c r="G16" s="5">
        <v>213051.16032</v>
      </c>
    </row>
    <row r="17" spans="1:7" x14ac:dyDescent="0.15">
      <c r="A17" s="3">
        <v>1203</v>
      </c>
      <c r="B17" s="5">
        <v>8832.8521911900007</v>
      </c>
      <c r="C17" s="5">
        <v>10349895.2728115</v>
      </c>
      <c r="D17" s="5">
        <v>0</v>
      </c>
      <c r="E17" s="5">
        <v>0</v>
      </c>
      <c r="F17" s="5">
        <v>5340.1067707599996</v>
      </c>
      <c r="G17" s="5">
        <v>3653155.2807065002</v>
      </c>
    </row>
    <row r="18" spans="1:7" x14ac:dyDescent="0.15">
      <c r="A18" s="3">
        <v>1204</v>
      </c>
      <c r="B18" s="5">
        <v>1738.6596335500001</v>
      </c>
      <c r="C18" s="5">
        <v>524418.27598200005</v>
      </c>
      <c r="D18" s="5">
        <v>0</v>
      </c>
      <c r="E18" s="5">
        <v>0</v>
      </c>
      <c r="F18" s="5">
        <v>1738.6596335500001</v>
      </c>
      <c r="G18" s="5">
        <v>524418.27598200005</v>
      </c>
    </row>
    <row r="19" spans="1:7" x14ac:dyDescent="0.15">
      <c r="A19" s="3">
        <v>1205</v>
      </c>
      <c r="B19" s="5">
        <v>5882.8176816799996</v>
      </c>
      <c r="C19" s="5">
        <v>6108178.9822969995</v>
      </c>
      <c r="D19" s="5">
        <v>0</v>
      </c>
      <c r="E19" s="5">
        <v>0</v>
      </c>
      <c r="F19" s="5">
        <v>449.10441773000002</v>
      </c>
      <c r="G19" s="5">
        <v>220598.332639</v>
      </c>
    </row>
    <row r="20" spans="1:7" x14ac:dyDescent="0.15">
      <c r="A20" s="3">
        <v>1206</v>
      </c>
      <c r="B20" s="5">
        <v>336.36336383000003</v>
      </c>
      <c r="C20" s="5">
        <v>0</v>
      </c>
      <c r="D20" s="5">
        <v>0</v>
      </c>
      <c r="E20" s="5">
        <v>0</v>
      </c>
      <c r="F20" s="5">
        <v>336.36336383000003</v>
      </c>
      <c r="G20" s="5">
        <v>0</v>
      </c>
    </row>
    <row r="21" spans="1:7" x14ac:dyDescent="0.15">
      <c r="A21" s="3">
        <v>1209</v>
      </c>
      <c r="B21" s="5">
        <v>149.44427926</v>
      </c>
      <c r="C21" s="5">
        <v>119555.423408</v>
      </c>
      <c r="D21" s="5">
        <v>0</v>
      </c>
      <c r="E21" s="5">
        <v>0</v>
      </c>
      <c r="F21" s="5">
        <v>149.44427926</v>
      </c>
      <c r="G21" s="5">
        <v>119555.423408</v>
      </c>
    </row>
    <row r="22" spans="1:7" x14ac:dyDescent="0.15">
      <c r="A22" s="3">
        <v>1401</v>
      </c>
      <c r="B22" s="5">
        <v>1743.29541404</v>
      </c>
      <c r="C22" s="5">
        <v>1359001.430229</v>
      </c>
      <c r="D22" s="5">
        <v>0</v>
      </c>
      <c r="E22" s="5">
        <v>0</v>
      </c>
      <c r="F22" s="5">
        <v>551.14750806999996</v>
      </c>
      <c r="G22" s="5">
        <v>330688.50484200002</v>
      </c>
    </row>
    <row r="23" spans="1:7" x14ac:dyDescent="0.15">
      <c r="A23" s="3">
        <v>1402</v>
      </c>
      <c r="B23" s="5">
        <v>284.64118744000001</v>
      </c>
      <c r="C23" s="5">
        <v>170784.71246400001</v>
      </c>
      <c r="D23" s="5">
        <v>0</v>
      </c>
      <c r="E23" s="5">
        <v>0</v>
      </c>
      <c r="F23" s="5">
        <v>0</v>
      </c>
      <c r="G23" s="5">
        <v>0</v>
      </c>
    </row>
    <row r="24" spans="1:7" x14ac:dyDescent="0.15">
      <c r="A24" s="3">
        <v>2000</v>
      </c>
      <c r="B24" s="5">
        <v>4463.4905815000002</v>
      </c>
      <c r="C24" s="5">
        <v>1778069.2954444999</v>
      </c>
      <c r="D24" s="5">
        <v>0</v>
      </c>
      <c r="E24" s="5">
        <v>0</v>
      </c>
      <c r="F24" s="5">
        <v>2611.4481770699999</v>
      </c>
      <c r="G24" s="5">
        <v>528333.76271000004</v>
      </c>
    </row>
    <row r="25" spans="1:7" x14ac:dyDescent="0.15">
      <c r="A25" s="3">
        <v>3001</v>
      </c>
      <c r="B25" s="5">
        <v>5015.53841207</v>
      </c>
      <c r="C25" s="5">
        <v>3404172.7700820002</v>
      </c>
      <c r="D25" s="5">
        <v>0</v>
      </c>
      <c r="E25" s="5">
        <v>0</v>
      </c>
      <c r="F25" s="5">
        <v>4471.9760946099996</v>
      </c>
      <c r="G25" s="5">
        <v>2357030.0839820001</v>
      </c>
    </row>
    <row r="26" spans="1:7" x14ac:dyDescent="0.15">
      <c r="A26" s="3">
        <v>3002</v>
      </c>
      <c r="B26" s="5">
        <v>527.30929792999996</v>
      </c>
      <c r="C26" s="5">
        <v>521897.70816679997</v>
      </c>
      <c r="D26" s="5">
        <v>0</v>
      </c>
      <c r="E26" s="5">
        <v>0</v>
      </c>
      <c r="F26" s="5">
        <v>152.44841310999999</v>
      </c>
      <c r="G26" s="5">
        <v>91469.047865999994</v>
      </c>
    </row>
    <row r="27" spans="1:7" x14ac:dyDescent="0.15">
      <c r="A27" s="3">
        <v>6000</v>
      </c>
      <c r="B27" s="5">
        <v>1463.8884337899999</v>
      </c>
      <c r="C27" s="5">
        <v>10983839.398979999</v>
      </c>
      <c r="D27" s="5">
        <v>0</v>
      </c>
      <c r="E27" s="5">
        <v>0</v>
      </c>
      <c r="F27" s="5">
        <v>0</v>
      </c>
      <c r="G27" s="5">
        <v>0</v>
      </c>
    </row>
    <row r="28" spans="1:7" x14ac:dyDescent="0.15">
      <c r="A28" s="3">
        <v>7002</v>
      </c>
      <c r="B28" s="5">
        <v>919.70526775999997</v>
      </c>
      <c r="C28" s="5">
        <v>3499648.1555499998</v>
      </c>
      <c r="D28" s="5">
        <v>0</v>
      </c>
      <c r="E28" s="5">
        <v>0</v>
      </c>
      <c r="F28" s="5">
        <v>0</v>
      </c>
      <c r="G28" s="5">
        <v>0</v>
      </c>
    </row>
    <row r="29" spans="1:7" x14ac:dyDescent="0.15">
      <c r="A29" s="3">
        <v>8001</v>
      </c>
      <c r="B29" s="5">
        <v>5112.6312505200003</v>
      </c>
      <c r="C29" s="5">
        <v>6371472.9653820004</v>
      </c>
      <c r="D29" s="5">
        <v>0</v>
      </c>
      <c r="E29" s="5">
        <v>0</v>
      </c>
      <c r="F29" s="5">
        <v>1177.8223528599999</v>
      </c>
      <c r="G29" s="5">
        <v>961228.85421799996</v>
      </c>
    </row>
    <row r="30" spans="1:7" x14ac:dyDescent="0.15">
      <c r="A30" s="3">
        <v>10010</v>
      </c>
      <c r="B30" s="5">
        <v>9872.2717887300005</v>
      </c>
      <c r="C30" s="5">
        <v>20298826.066925</v>
      </c>
      <c r="D30" s="5">
        <v>0</v>
      </c>
      <c r="E30" s="5">
        <v>0</v>
      </c>
      <c r="F30" s="5">
        <v>0</v>
      </c>
      <c r="G30" s="5">
        <v>0</v>
      </c>
    </row>
    <row r="31" spans="1:7" x14ac:dyDescent="0.15">
      <c r="A31" s="3">
        <v>10021</v>
      </c>
      <c r="B31" s="5">
        <v>897.35167522999996</v>
      </c>
      <c r="C31" s="5">
        <v>775575.34337000002</v>
      </c>
      <c r="D31" s="5">
        <v>0</v>
      </c>
      <c r="E31" s="5">
        <v>0</v>
      </c>
      <c r="F31" s="5">
        <v>653.79901151000001</v>
      </c>
      <c r="G31" s="5">
        <v>653799.01150999998</v>
      </c>
    </row>
    <row r="32" spans="1:7" x14ac:dyDescent="0.15">
      <c r="A32" s="3">
        <v>10022</v>
      </c>
      <c r="B32" s="5">
        <v>564.26572355999997</v>
      </c>
      <c r="C32" s="5">
        <v>620692.29591600003</v>
      </c>
      <c r="D32" s="5">
        <v>0</v>
      </c>
      <c r="E32" s="5">
        <v>0</v>
      </c>
      <c r="F32" s="5">
        <v>0</v>
      </c>
      <c r="G32" s="5">
        <v>0</v>
      </c>
    </row>
    <row r="33" spans="1:7" x14ac:dyDescent="0.15">
      <c r="A33" s="3">
        <v>10030</v>
      </c>
      <c r="B33" s="5">
        <v>4620.1036771999998</v>
      </c>
      <c r="C33" s="5">
        <v>2337549.1724433</v>
      </c>
      <c r="D33" s="5">
        <v>0</v>
      </c>
      <c r="E33" s="5">
        <v>0</v>
      </c>
      <c r="F33" s="5">
        <v>3309.1516412000001</v>
      </c>
      <c r="G33" s="5">
        <v>1086828.4157073</v>
      </c>
    </row>
    <row r="34" spans="1:7" x14ac:dyDescent="0.15">
      <c r="A34" s="3">
        <v>10091</v>
      </c>
      <c r="B34" s="5">
        <v>4768.0935829700002</v>
      </c>
      <c r="C34" s="5">
        <v>2916873.1862102002</v>
      </c>
      <c r="D34" s="5">
        <v>0</v>
      </c>
      <c r="E34" s="5">
        <v>0</v>
      </c>
      <c r="F34" s="5">
        <v>225.85951845</v>
      </c>
      <c r="G34" s="5">
        <v>0</v>
      </c>
    </row>
    <row r="35" spans="1:7" x14ac:dyDescent="0.15">
      <c r="A35" s="3">
        <v>10092</v>
      </c>
      <c r="B35" s="5">
        <v>18353.669778830001</v>
      </c>
      <c r="C35" s="5">
        <v>27538330.052549101</v>
      </c>
      <c r="D35" s="5">
        <v>0</v>
      </c>
      <c r="E35" s="5">
        <v>0</v>
      </c>
      <c r="F35" s="5">
        <v>0</v>
      </c>
      <c r="G35" s="5">
        <v>0</v>
      </c>
    </row>
    <row r="36" spans="1:7" x14ac:dyDescent="0.15">
      <c r="A36" s="3">
        <v>10099</v>
      </c>
      <c r="B36" s="5">
        <v>29797.27046711</v>
      </c>
      <c r="C36" s="5">
        <v>49711158.658041999</v>
      </c>
      <c r="D36" s="5">
        <v>0</v>
      </c>
      <c r="E36" s="5">
        <v>0</v>
      </c>
      <c r="F36" s="5">
        <v>0</v>
      </c>
      <c r="G36" s="5">
        <v>0</v>
      </c>
    </row>
    <row r="37" spans="1:7" x14ac:dyDescent="0.15">
      <c r="A37" s="3">
        <v>11000</v>
      </c>
      <c r="B37" s="5">
        <v>3792.6071360800001</v>
      </c>
      <c r="C37" s="5">
        <v>6703418.1296070004</v>
      </c>
      <c r="D37" s="5">
        <v>0</v>
      </c>
      <c r="E37" s="5">
        <v>0</v>
      </c>
      <c r="F37" s="5">
        <v>0</v>
      </c>
      <c r="G37" s="5">
        <v>0</v>
      </c>
    </row>
    <row r="38" spans="1:7" x14ac:dyDescent="0.15">
      <c r="A38" s="3">
        <v>13001</v>
      </c>
      <c r="B38" s="5">
        <v>5702.9735444899998</v>
      </c>
      <c r="C38" s="5">
        <v>5937719.66442296</v>
      </c>
      <c r="D38" s="5">
        <v>0</v>
      </c>
      <c r="E38" s="5">
        <v>0</v>
      </c>
      <c r="F38" s="5">
        <v>1629.4341232899999</v>
      </c>
      <c r="G38" s="5">
        <v>790967.89979699999</v>
      </c>
    </row>
    <row r="39" spans="1:7" x14ac:dyDescent="0.15">
      <c r="A39" s="3">
        <v>13002</v>
      </c>
      <c r="B39" s="5">
        <v>14094.279000680001</v>
      </c>
      <c r="C39" s="5">
        <v>10708578.927297199</v>
      </c>
      <c r="D39" s="5">
        <v>0</v>
      </c>
      <c r="E39" s="5">
        <v>0</v>
      </c>
      <c r="F39" s="5">
        <v>9933.3912016899994</v>
      </c>
      <c r="G39" s="5">
        <v>5316855.9664821997</v>
      </c>
    </row>
    <row r="40" spans="1:7" x14ac:dyDescent="0.15">
      <c r="A40" s="3">
        <v>14001</v>
      </c>
      <c r="B40" s="5">
        <v>94320.675548900006</v>
      </c>
      <c r="C40" s="5">
        <v>85305214.287252307</v>
      </c>
      <c r="D40" s="5">
        <v>1230.4920293600001</v>
      </c>
      <c r="E40" s="5">
        <v>1476590.435232</v>
      </c>
      <c r="F40" s="5">
        <v>38486.333459269998</v>
      </c>
      <c r="G40" s="5">
        <v>33683534.947256997</v>
      </c>
    </row>
    <row r="41" spans="1:7" x14ac:dyDescent="0.15">
      <c r="A41" s="3">
        <v>14002</v>
      </c>
      <c r="B41" s="5">
        <v>25934.99110798</v>
      </c>
      <c r="C41" s="5">
        <v>26464916.884958401</v>
      </c>
      <c r="D41" s="5">
        <v>470.17023685999999</v>
      </c>
      <c r="E41" s="5">
        <v>10343745.21092</v>
      </c>
      <c r="F41" s="5">
        <v>20691.84445158</v>
      </c>
      <c r="G41" s="5">
        <v>12215990.316622401</v>
      </c>
    </row>
    <row r="42" spans="1:7" x14ac:dyDescent="0.15">
      <c r="A42" s="3">
        <v>15012</v>
      </c>
      <c r="B42" s="5">
        <v>368.36384665000003</v>
      </c>
      <c r="C42" s="5">
        <v>292431.94478000002</v>
      </c>
      <c r="D42" s="5">
        <v>0</v>
      </c>
      <c r="E42" s="5">
        <v>0</v>
      </c>
      <c r="F42" s="5">
        <v>225.53657307</v>
      </c>
      <c r="G42" s="5">
        <v>135321.94384200001</v>
      </c>
    </row>
    <row r="43" spans="1:7" x14ac:dyDescent="0.15">
      <c r="A43" s="3">
        <v>15020</v>
      </c>
      <c r="B43" s="5">
        <v>4605.5871876800002</v>
      </c>
      <c r="C43" s="5">
        <v>6036815.9486985998</v>
      </c>
      <c r="D43" s="5">
        <v>0</v>
      </c>
      <c r="E43" s="5">
        <v>0</v>
      </c>
      <c r="F43" s="5">
        <v>975.25478137000005</v>
      </c>
      <c r="G43" s="5">
        <v>682678.34695899999</v>
      </c>
    </row>
    <row r="44" spans="1:7" x14ac:dyDescent="0.15">
      <c r="A44" s="3">
        <v>16001</v>
      </c>
      <c r="B44" s="5">
        <v>1108.9415442899999</v>
      </c>
      <c r="C44" s="5">
        <v>948052.74696100003</v>
      </c>
      <c r="D44" s="5">
        <v>0</v>
      </c>
      <c r="E44" s="5">
        <v>0</v>
      </c>
      <c r="F44" s="5">
        <v>286.08731763999998</v>
      </c>
      <c r="G44" s="5">
        <v>42913.097646000002</v>
      </c>
    </row>
    <row r="45" spans="1:7" x14ac:dyDescent="0.15">
      <c r="A45" s="3">
        <v>16002</v>
      </c>
      <c r="B45" s="5">
        <v>8399.4940568900001</v>
      </c>
      <c r="C45" s="5">
        <v>9247754.5614170004</v>
      </c>
      <c r="D45" s="5">
        <v>0</v>
      </c>
      <c r="E45" s="5">
        <v>0</v>
      </c>
      <c r="F45" s="5">
        <v>5768.0241425000004</v>
      </c>
      <c r="G45" s="5">
        <v>6680311.8609149996</v>
      </c>
    </row>
    <row r="46" spans="1:7" x14ac:dyDescent="0.15">
      <c r="A46" s="3">
        <v>17001</v>
      </c>
      <c r="B46" s="5">
        <v>335.93676144</v>
      </c>
      <c r="C46" s="5">
        <v>369530.437584</v>
      </c>
      <c r="D46" s="5">
        <v>0</v>
      </c>
      <c r="E46" s="5">
        <v>0</v>
      </c>
      <c r="F46" s="5">
        <v>0</v>
      </c>
      <c r="G46" s="5">
        <v>0</v>
      </c>
    </row>
    <row r="47" spans="1:7" x14ac:dyDescent="0.15">
      <c r="A47" s="3">
        <v>17002</v>
      </c>
      <c r="B47" s="5">
        <v>5229.0322465600002</v>
      </c>
      <c r="C47" s="5">
        <v>12264142.932957999</v>
      </c>
      <c r="D47" s="5">
        <v>0</v>
      </c>
      <c r="E47" s="5">
        <v>0</v>
      </c>
      <c r="F47" s="5">
        <v>3038.9081972499998</v>
      </c>
      <c r="G47" s="5">
        <v>10126046.33299</v>
      </c>
    </row>
    <row r="48" spans="1:7" x14ac:dyDescent="0.15">
      <c r="A48" s="3">
        <v>18000</v>
      </c>
      <c r="B48" s="5">
        <v>7910.9590257299997</v>
      </c>
      <c r="C48" s="5">
        <v>17052261.570289001</v>
      </c>
      <c r="D48" s="5">
        <v>0</v>
      </c>
      <c r="E48" s="5">
        <v>0</v>
      </c>
      <c r="F48" s="5">
        <v>1932.4699518499999</v>
      </c>
      <c r="G48" s="5">
        <v>6763644.8314749999</v>
      </c>
    </row>
    <row r="49" spans="1:7" x14ac:dyDescent="0.15">
      <c r="A49" s="3">
        <v>19020</v>
      </c>
      <c r="B49" s="5">
        <v>1057.7269269999999</v>
      </c>
      <c r="C49" s="5">
        <v>12595457.148940001</v>
      </c>
      <c r="D49" s="5">
        <v>0</v>
      </c>
      <c r="E49" s="5">
        <v>0</v>
      </c>
      <c r="F49" s="5">
        <v>0</v>
      </c>
      <c r="G49" s="5">
        <v>0</v>
      </c>
    </row>
    <row r="50" spans="1:7" x14ac:dyDescent="0.15">
      <c r="A50" s="3">
        <v>19030</v>
      </c>
      <c r="B50" s="5">
        <v>50.046593250000001</v>
      </c>
      <c r="C50" s="5">
        <v>110102.50515</v>
      </c>
      <c r="D50" s="5">
        <v>0</v>
      </c>
      <c r="E50" s="5">
        <v>0</v>
      </c>
      <c r="F50" s="5">
        <v>0</v>
      </c>
      <c r="G50" s="5">
        <v>0</v>
      </c>
    </row>
    <row r="51" spans="1:7" x14ac:dyDescent="0.15">
      <c r="A51" s="3">
        <v>20010</v>
      </c>
      <c r="B51" s="5">
        <v>765.78170954999996</v>
      </c>
      <c r="C51" s="5">
        <v>842359.88050500001</v>
      </c>
      <c r="D51" s="5">
        <v>0</v>
      </c>
      <c r="E51" s="5">
        <v>0</v>
      </c>
      <c r="F51" s="5">
        <v>0</v>
      </c>
      <c r="G51" s="5">
        <v>0</v>
      </c>
    </row>
    <row r="52" spans="1:7" x14ac:dyDescent="0.15">
      <c r="A52" s="3">
        <v>20020</v>
      </c>
      <c r="B52" s="5">
        <v>5254.2970112599996</v>
      </c>
      <c r="C52" s="5">
        <v>5164518.40034068</v>
      </c>
      <c r="D52" s="5">
        <v>0</v>
      </c>
      <c r="E52" s="5">
        <v>0</v>
      </c>
      <c r="F52" s="5">
        <v>2711.9774531100002</v>
      </c>
      <c r="G52" s="5">
        <v>1170454.606257</v>
      </c>
    </row>
    <row r="53" spans="1:7" x14ac:dyDescent="0.15">
      <c r="A53" s="3">
        <v>20090</v>
      </c>
      <c r="B53" s="5">
        <v>3736.8464916600001</v>
      </c>
      <c r="C53" s="5">
        <v>6267357.3201390002</v>
      </c>
      <c r="D53" s="5">
        <v>0</v>
      </c>
      <c r="E53" s="5">
        <v>0</v>
      </c>
      <c r="F53" s="5">
        <v>0</v>
      </c>
      <c r="G53" s="5">
        <v>0</v>
      </c>
    </row>
    <row r="54" spans="1:7" x14ac:dyDescent="0.15">
      <c r="A54" s="3">
        <v>21000</v>
      </c>
      <c r="B54" s="5">
        <v>1556.4369534499999</v>
      </c>
      <c r="C54" s="5">
        <v>1797860.9855470001</v>
      </c>
      <c r="D54" s="5">
        <v>0</v>
      </c>
      <c r="E54" s="5">
        <v>0</v>
      </c>
      <c r="F54" s="5">
        <v>0</v>
      </c>
      <c r="G54" s="5">
        <v>0</v>
      </c>
    </row>
    <row r="55" spans="1:7" x14ac:dyDescent="0.15">
      <c r="A55" s="3">
        <v>22010</v>
      </c>
      <c r="B55" s="5">
        <v>1617.6649423700001</v>
      </c>
      <c r="C55" s="5">
        <v>4529461.8386359997</v>
      </c>
      <c r="D55" s="5">
        <v>0</v>
      </c>
      <c r="E55" s="5">
        <v>0</v>
      </c>
      <c r="F55" s="5">
        <v>0</v>
      </c>
      <c r="G55" s="5">
        <v>0</v>
      </c>
    </row>
    <row r="56" spans="1:7" x14ac:dyDescent="0.15">
      <c r="A56" s="3">
        <v>22020</v>
      </c>
      <c r="B56" s="5">
        <v>10294.769624869999</v>
      </c>
      <c r="C56" s="5">
        <v>12264928.116525101</v>
      </c>
      <c r="D56" s="5">
        <v>0</v>
      </c>
      <c r="E56" s="5">
        <v>0</v>
      </c>
      <c r="F56" s="5">
        <v>0</v>
      </c>
      <c r="G56" s="5">
        <v>0</v>
      </c>
    </row>
    <row r="57" spans="1:7" x14ac:dyDescent="0.15">
      <c r="A57" s="3">
        <v>23091</v>
      </c>
      <c r="B57" s="5">
        <v>9081.8805283000002</v>
      </c>
      <c r="C57" s="5">
        <v>14040050.3183275</v>
      </c>
      <c r="D57" s="5">
        <v>0</v>
      </c>
      <c r="E57" s="5">
        <v>0</v>
      </c>
      <c r="F57" s="5">
        <v>1372.65169182</v>
      </c>
      <c r="G57" s="5">
        <v>686325.84591000003</v>
      </c>
    </row>
    <row r="58" spans="1:7" x14ac:dyDescent="0.15">
      <c r="A58" s="3">
        <v>23099</v>
      </c>
      <c r="B58" s="5">
        <v>10624.151614910001</v>
      </c>
      <c r="C58" s="5">
        <v>14317514.722603301</v>
      </c>
      <c r="D58" s="5">
        <v>0</v>
      </c>
      <c r="E58" s="5">
        <v>0</v>
      </c>
      <c r="F58" s="5">
        <v>1886.1382955300001</v>
      </c>
      <c r="G58" s="5">
        <v>1622879.1018945</v>
      </c>
    </row>
    <row r="59" spans="1:7" x14ac:dyDescent="0.15">
      <c r="A59" s="3">
        <v>24001</v>
      </c>
      <c r="B59" s="5">
        <v>595.85853015999999</v>
      </c>
      <c r="C59" s="5">
        <v>3575151.18096</v>
      </c>
      <c r="D59" s="5">
        <v>0</v>
      </c>
      <c r="E59" s="5">
        <v>0</v>
      </c>
      <c r="F59" s="5">
        <v>0</v>
      </c>
      <c r="G59" s="5">
        <v>0</v>
      </c>
    </row>
    <row r="60" spans="1:7" x14ac:dyDescent="0.15">
      <c r="A60" s="3">
        <v>24002</v>
      </c>
      <c r="B60" s="5">
        <v>3419.1618300499999</v>
      </c>
      <c r="C60" s="5">
        <v>7456587.1745210001</v>
      </c>
      <c r="D60" s="5">
        <v>0</v>
      </c>
      <c r="E60" s="5">
        <v>0</v>
      </c>
      <c r="F60" s="5">
        <v>0</v>
      </c>
      <c r="G60" s="5">
        <v>0</v>
      </c>
    </row>
    <row r="61" spans="1:7" x14ac:dyDescent="0.15">
      <c r="A61" s="3">
        <v>25001</v>
      </c>
      <c r="B61" s="5">
        <v>26861.612297129999</v>
      </c>
      <c r="C61" s="5">
        <v>47374366.5084472</v>
      </c>
      <c r="D61" s="5">
        <v>1785.51866363</v>
      </c>
      <c r="E61" s="5">
        <v>2787371.6666629999</v>
      </c>
      <c r="F61" s="5">
        <v>10872.70665113</v>
      </c>
      <c r="G61" s="5">
        <v>17888510.537085</v>
      </c>
    </row>
    <row r="62" spans="1:7" x14ac:dyDescent="0.15">
      <c r="A62" s="3">
        <v>25002</v>
      </c>
      <c r="B62" s="5">
        <v>4454.5751385000003</v>
      </c>
      <c r="C62" s="5">
        <v>4137758.5618455298</v>
      </c>
      <c r="D62" s="5">
        <v>0</v>
      </c>
      <c r="E62" s="5">
        <v>0</v>
      </c>
      <c r="F62" s="5">
        <v>1138.6287862700001</v>
      </c>
      <c r="G62" s="5">
        <v>1021004.105784</v>
      </c>
    </row>
    <row r="63" spans="1:7" x14ac:dyDescent="0.15">
      <c r="A63" s="3">
        <v>26041</v>
      </c>
      <c r="B63" s="5">
        <v>931.38740084999995</v>
      </c>
      <c r="C63" s="5">
        <v>2049052.2818700001</v>
      </c>
      <c r="D63" s="5">
        <v>0</v>
      </c>
      <c r="E63" s="5">
        <v>0</v>
      </c>
      <c r="F63" s="5">
        <v>0</v>
      </c>
      <c r="G63" s="5">
        <v>0</v>
      </c>
    </row>
    <row r="64" spans="1:7" x14ac:dyDescent="0.15">
      <c r="A64" s="3">
        <v>27090</v>
      </c>
      <c r="B64" s="5">
        <v>7171.0206071399998</v>
      </c>
      <c r="C64" s="5">
        <v>13585840.1557646</v>
      </c>
      <c r="D64" s="5">
        <v>0</v>
      </c>
      <c r="E64" s="5">
        <v>0</v>
      </c>
      <c r="F64" s="5">
        <v>0</v>
      </c>
      <c r="G64" s="5">
        <v>0</v>
      </c>
    </row>
    <row r="65" spans="1:7" x14ac:dyDescent="0.15">
      <c r="A65" s="3">
        <v>28000</v>
      </c>
      <c r="B65" s="5">
        <v>258.78249676000002</v>
      </c>
      <c r="C65" s="5">
        <v>155269.49805600001</v>
      </c>
      <c r="D65" s="5">
        <v>0</v>
      </c>
      <c r="E65" s="5">
        <v>0</v>
      </c>
      <c r="F65" s="5">
        <v>0</v>
      </c>
      <c r="G65" s="5">
        <v>0</v>
      </c>
    </row>
    <row r="66" spans="1:7" x14ac:dyDescent="0.15">
      <c r="A66" s="3">
        <v>29001</v>
      </c>
      <c r="B66" s="5">
        <v>9524.0081650400007</v>
      </c>
      <c r="C66" s="5">
        <v>12965236.9038433</v>
      </c>
      <c r="D66" s="5">
        <v>0</v>
      </c>
      <c r="E66" s="5">
        <v>0</v>
      </c>
      <c r="F66" s="5">
        <v>0</v>
      </c>
      <c r="G66" s="5">
        <v>0</v>
      </c>
    </row>
    <row r="67" spans="1:7" x14ac:dyDescent="0.15">
      <c r="A67" s="3">
        <v>29002</v>
      </c>
      <c r="B67" s="5">
        <v>971.07555642</v>
      </c>
      <c r="C67" s="5">
        <v>1408834.429006</v>
      </c>
      <c r="D67" s="5">
        <v>0</v>
      </c>
      <c r="E67" s="5">
        <v>0</v>
      </c>
      <c r="F67" s="5">
        <v>0</v>
      </c>
      <c r="G67" s="5">
        <v>0</v>
      </c>
    </row>
    <row r="68" spans="1:7" x14ac:dyDescent="0.15">
      <c r="A68" s="3">
        <v>30010</v>
      </c>
      <c r="B68" s="5">
        <v>769.52122164000002</v>
      </c>
      <c r="C68" s="5">
        <v>1000377.5881319999</v>
      </c>
      <c r="D68" s="5">
        <v>0</v>
      </c>
      <c r="E68" s="5">
        <v>0</v>
      </c>
      <c r="F68" s="5">
        <v>0</v>
      </c>
      <c r="G68" s="5">
        <v>0</v>
      </c>
    </row>
    <row r="69" spans="1:7" x14ac:dyDescent="0.15">
      <c r="A69" s="3">
        <v>30090</v>
      </c>
      <c r="B69" s="5">
        <v>1136.0161930100001</v>
      </c>
      <c r="C69" s="5">
        <v>1817625.908816</v>
      </c>
      <c r="D69" s="5">
        <v>0</v>
      </c>
      <c r="E69" s="5">
        <v>0</v>
      </c>
      <c r="F69" s="5">
        <v>0</v>
      </c>
      <c r="G69" s="5">
        <v>0</v>
      </c>
    </row>
    <row r="70" spans="1:7" x14ac:dyDescent="0.15">
      <c r="A70" s="3">
        <v>31000</v>
      </c>
      <c r="B70" s="5">
        <v>18967.683927620001</v>
      </c>
      <c r="C70" s="5">
        <v>25922894.8319414</v>
      </c>
      <c r="D70" s="5">
        <v>0</v>
      </c>
      <c r="E70" s="5">
        <v>0</v>
      </c>
      <c r="F70" s="5">
        <v>8125.1650251299998</v>
      </c>
      <c r="G70" s="5">
        <v>10273468.172490001</v>
      </c>
    </row>
    <row r="71" spans="1:7" x14ac:dyDescent="0.15">
      <c r="A71" s="3">
        <v>32009</v>
      </c>
      <c r="B71" s="5">
        <v>1601.8085320499999</v>
      </c>
      <c r="C71" s="5">
        <v>1989390.7109498</v>
      </c>
      <c r="D71" s="5">
        <v>0</v>
      </c>
      <c r="E71" s="5">
        <v>0</v>
      </c>
      <c r="F71" s="5">
        <v>980.85050048000005</v>
      </c>
      <c r="G71" s="5">
        <v>933865.26714080002</v>
      </c>
    </row>
    <row r="72" spans="1:7" x14ac:dyDescent="0.15">
      <c r="A72" s="3">
        <v>33001</v>
      </c>
      <c r="B72" s="5">
        <v>3263.8511990400002</v>
      </c>
      <c r="C72" s="5">
        <v>2321225.43138</v>
      </c>
      <c r="D72" s="5">
        <v>0</v>
      </c>
      <c r="E72" s="5">
        <v>0</v>
      </c>
      <c r="F72" s="5">
        <v>1197.7701472599999</v>
      </c>
      <c r="G72" s="5">
        <v>700861.00410000002</v>
      </c>
    </row>
    <row r="73" spans="1:7" x14ac:dyDescent="0.15">
      <c r="A73" s="3">
        <v>33002</v>
      </c>
      <c r="B73" s="5">
        <v>1759.47388159</v>
      </c>
      <c r="C73" s="5">
        <v>2452023.6520739999</v>
      </c>
      <c r="D73" s="5">
        <v>0</v>
      </c>
      <c r="E73" s="5">
        <v>0</v>
      </c>
      <c r="F73" s="5">
        <v>0</v>
      </c>
      <c r="G73" s="5">
        <v>0</v>
      </c>
    </row>
    <row r="74" spans="1:7" x14ac:dyDescent="0.15">
      <c r="A74" s="3">
        <v>35010</v>
      </c>
      <c r="B74" s="5">
        <v>6597.1802004399997</v>
      </c>
      <c r="C74" s="5">
        <v>26976316.937378999</v>
      </c>
      <c r="D74" s="5">
        <v>0</v>
      </c>
      <c r="E74" s="5">
        <v>0</v>
      </c>
      <c r="F74" s="5">
        <v>0</v>
      </c>
      <c r="G74" s="5">
        <v>0</v>
      </c>
    </row>
    <row r="75" spans="1:7" x14ac:dyDescent="0.15">
      <c r="A75" s="3">
        <v>35021</v>
      </c>
      <c r="B75" s="5">
        <v>652.44874187999994</v>
      </c>
      <c r="C75" s="5">
        <v>771715.39089200005</v>
      </c>
      <c r="D75" s="5">
        <v>0</v>
      </c>
      <c r="E75" s="5">
        <v>0</v>
      </c>
      <c r="F75" s="5">
        <v>0</v>
      </c>
      <c r="G75" s="5">
        <v>0</v>
      </c>
    </row>
    <row r="76" spans="1:7" x14ac:dyDescent="0.15">
      <c r="A76" s="3">
        <v>36000</v>
      </c>
      <c r="B76" s="5">
        <v>4763.5665770799997</v>
      </c>
      <c r="C76" s="5">
        <v>7928605.1808035597</v>
      </c>
      <c r="D76" s="5">
        <v>0</v>
      </c>
      <c r="E76" s="5">
        <v>0</v>
      </c>
      <c r="F76" s="5">
        <v>320.90587264999999</v>
      </c>
      <c r="G76" s="5">
        <v>385087.04717999999</v>
      </c>
    </row>
    <row r="77" spans="1:7" x14ac:dyDescent="0.15">
      <c r="A77" s="3">
        <v>38000</v>
      </c>
      <c r="B77" s="5">
        <v>4343.7621091499996</v>
      </c>
      <c r="C77" s="5">
        <v>8033272.4830685798</v>
      </c>
      <c r="D77" s="5">
        <v>0</v>
      </c>
      <c r="E77" s="5">
        <v>0</v>
      </c>
      <c r="F77" s="5">
        <v>0</v>
      </c>
      <c r="G77" s="5">
        <v>0</v>
      </c>
    </row>
    <row r="78" spans="1:7" x14ac:dyDescent="0.15">
      <c r="A78" s="3">
        <v>41000</v>
      </c>
      <c r="B78" s="5">
        <v>172576.16475965001</v>
      </c>
      <c r="C78" s="5">
        <v>209286377.232674</v>
      </c>
      <c r="D78" s="5">
        <v>226.39767495000001</v>
      </c>
      <c r="E78" s="5">
        <v>135838.60496999999</v>
      </c>
      <c r="F78" s="5">
        <v>95992.577636200105</v>
      </c>
      <c r="G78" s="5">
        <v>100048023.803985</v>
      </c>
    </row>
    <row r="79" spans="1:7" x14ac:dyDescent="0.15">
      <c r="A79" s="3">
        <v>42000</v>
      </c>
      <c r="B79" s="5">
        <v>19143.104802670001</v>
      </c>
      <c r="C79" s="5">
        <v>30319165.3658491</v>
      </c>
      <c r="D79" s="5">
        <v>0</v>
      </c>
      <c r="E79" s="5">
        <v>0</v>
      </c>
      <c r="F79" s="5">
        <v>759.34793506000005</v>
      </c>
      <c r="G79" s="5">
        <v>805151.83474600001</v>
      </c>
    </row>
    <row r="80" spans="1:7" x14ac:dyDescent="0.15">
      <c r="A80" s="3">
        <v>43000</v>
      </c>
      <c r="B80" s="5">
        <v>46589.016513820003</v>
      </c>
      <c r="C80" s="5">
        <v>59091515.508437604</v>
      </c>
      <c r="D80" s="5">
        <v>1081.34192484</v>
      </c>
      <c r="E80" s="5">
        <v>2786329.3935199999</v>
      </c>
      <c r="F80" s="5">
        <v>31620.16535911</v>
      </c>
      <c r="G80" s="5">
        <v>36377435.258475997</v>
      </c>
    </row>
    <row r="81" spans="1:7" x14ac:dyDescent="0.15">
      <c r="A81" s="3">
        <v>45010</v>
      </c>
      <c r="B81" s="5">
        <v>10653.81081261</v>
      </c>
      <c r="C81" s="5">
        <v>31461807.602285001</v>
      </c>
      <c r="D81" s="5">
        <v>509.20950579999999</v>
      </c>
      <c r="E81" s="5">
        <v>5092095058</v>
      </c>
      <c r="F81" s="5">
        <v>3520.2712264299998</v>
      </c>
      <c r="G81" s="5">
        <v>13971734.936789</v>
      </c>
    </row>
    <row r="82" spans="1:7" x14ac:dyDescent="0.15">
      <c r="A82" s="3">
        <v>45020</v>
      </c>
      <c r="B82" s="5">
        <v>59513.888263399997</v>
      </c>
      <c r="C82" s="5">
        <v>69363051.638898998</v>
      </c>
      <c r="D82" s="5">
        <v>0</v>
      </c>
      <c r="E82" s="5">
        <v>0</v>
      </c>
      <c r="F82" s="5">
        <v>24886.915544970001</v>
      </c>
      <c r="G82" s="5">
        <v>29464882.099330802</v>
      </c>
    </row>
    <row r="83" spans="1:7" x14ac:dyDescent="0.15">
      <c r="A83" s="3">
        <v>45030</v>
      </c>
      <c r="B83" s="5">
        <v>9313.9266927000008</v>
      </c>
      <c r="C83" s="5">
        <v>49205683.454350002</v>
      </c>
      <c r="D83" s="5">
        <v>2297.4311805799998</v>
      </c>
      <c r="E83" s="5">
        <v>34461467.708700001</v>
      </c>
      <c r="F83" s="5">
        <v>1168.2935337900001</v>
      </c>
      <c r="G83" s="5">
        <v>2495523.751346</v>
      </c>
    </row>
    <row r="84" spans="1:7" x14ac:dyDescent="0.15">
      <c r="A84" s="3">
        <v>45040</v>
      </c>
      <c r="B84" s="5">
        <v>9730.8615153999999</v>
      </c>
      <c r="C84" s="5">
        <v>10584248.108672</v>
      </c>
      <c r="D84" s="5">
        <v>0</v>
      </c>
      <c r="E84" s="5">
        <v>0</v>
      </c>
      <c r="F84" s="5">
        <v>6256.1871379200002</v>
      </c>
      <c r="G84" s="5">
        <v>7603089.0708069997</v>
      </c>
    </row>
    <row r="85" spans="1:7" x14ac:dyDescent="0.15">
      <c r="A85" s="3">
        <v>48010</v>
      </c>
      <c r="B85" s="5">
        <v>2104.3053836700001</v>
      </c>
      <c r="C85" s="5">
        <v>6608190.7702804999</v>
      </c>
      <c r="D85" s="5">
        <v>0</v>
      </c>
      <c r="E85" s="5">
        <v>0</v>
      </c>
      <c r="F85" s="5">
        <v>667.54848144000005</v>
      </c>
      <c r="G85" s="5">
        <v>3376201.0505424999</v>
      </c>
    </row>
    <row r="86" spans="1:7" x14ac:dyDescent="0.15">
      <c r="A86" s="3">
        <v>48020</v>
      </c>
      <c r="B86" s="5">
        <v>5833.5503036999999</v>
      </c>
      <c r="C86" s="5">
        <v>6039765.7454930004</v>
      </c>
      <c r="D86" s="5">
        <v>0</v>
      </c>
      <c r="E86" s="5">
        <v>0</v>
      </c>
      <c r="F86" s="5">
        <v>3081.0425808099999</v>
      </c>
      <c r="G86" s="5">
        <v>3940418.4124710001</v>
      </c>
    </row>
    <row r="87" spans="1:7" x14ac:dyDescent="0.15">
      <c r="A87" s="3">
        <v>48030</v>
      </c>
      <c r="B87" s="5">
        <v>168710.67226935001</v>
      </c>
      <c r="C87" s="5">
        <v>224862301.763441</v>
      </c>
      <c r="D87" s="5">
        <v>2759.83839786</v>
      </c>
      <c r="E87" s="5">
        <v>6613749.2433860004</v>
      </c>
      <c r="F87" s="5">
        <v>71967.628302290002</v>
      </c>
      <c r="G87" s="5">
        <v>80096182.775325596</v>
      </c>
    </row>
    <row r="88" spans="1:7" x14ac:dyDescent="0.15">
      <c r="A88" s="3">
        <v>48041</v>
      </c>
      <c r="B88" s="5">
        <v>3563.4762727900002</v>
      </c>
      <c r="C88" s="5">
        <v>4280383.5925014997</v>
      </c>
      <c r="D88" s="5">
        <v>0</v>
      </c>
      <c r="E88" s="5">
        <v>0</v>
      </c>
      <c r="F88" s="5">
        <v>792.84635691000005</v>
      </c>
      <c r="G88" s="5">
        <v>785583.54643450002</v>
      </c>
    </row>
    <row r="89" spans="1:7" x14ac:dyDescent="0.15">
      <c r="A89" s="3">
        <v>48042</v>
      </c>
      <c r="B89" s="5">
        <v>71817.930144879996</v>
      </c>
      <c r="C89" s="5">
        <v>120616414.913435</v>
      </c>
      <c r="D89" s="5">
        <v>1532.5490208599999</v>
      </c>
      <c r="E89" s="5">
        <v>4239931.6548619997</v>
      </c>
      <c r="F89" s="5">
        <v>30478.535480030001</v>
      </c>
      <c r="G89" s="5">
        <v>63183016.321549997</v>
      </c>
    </row>
    <row r="90" spans="1:7" x14ac:dyDescent="0.15">
      <c r="A90" s="3">
        <v>48050</v>
      </c>
      <c r="B90" s="5">
        <v>44229.499595120004</v>
      </c>
      <c r="C90" s="5">
        <v>86819958.647108003</v>
      </c>
      <c r="D90" s="5">
        <v>487.62002380000001</v>
      </c>
      <c r="E90" s="5">
        <v>766326.23669100006</v>
      </c>
      <c r="F90" s="5">
        <v>3805.2659349099999</v>
      </c>
      <c r="G90" s="5">
        <v>25231425.4604</v>
      </c>
    </row>
    <row r="91" spans="1:7" x14ac:dyDescent="0.15">
      <c r="A91" s="3">
        <v>48060</v>
      </c>
      <c r="B91" s="5">
        <v>15399.762225570001</v>
      </c>
      <c r="C91" s="5">
        <v>21993746.912425999</v>
      </c>
      <c r="D91" s="5">
        <v>0</v>
      </c>
      <c r="E91" s="5">
        <v>0</v>
      </c>
      <c r="F91" s="5">
        <v>0</v>
      </c>
      <c r="G91" s="5">
        <v>0</v>
      </c>
    </row>
    <row r="92" spans="1:7" x14ac:dyDescent="0.15">
      <c r="A92" s="3">
        <v>48071</v>
      </c>
      <c r="B92" s="5">
        <v>74197.525026610005</v>
      </c>
      <c r="C92" s="5">
        <v>110287391.03021801</v>
      </c>
      <c r="D92" s="5">
        <v>1528.28432752</v>
      </c>
      <c r="E92" s="5">
        <v>2065052.6976640001</v>
      </c>
      <c r="F92" s="5">
        <v>30366.579615300001</v>
      </c>
      <c r="G92" s="5">
        <v>20477100.8405651</v>
      </c>
    </row>
    <row r="93" spans="1:7" x14ac:dyDescent="0.15">
      <c r="A93" s="3">
        <v>48072</v>
      </c>
      <c r="B93" s="5">
        <v>5895.3395825400003</v>
      </c>
      <c r="C93" s="5">
        <v>14906034.2378392</v>
      </c>
      <c r="D93" s="5">
        <v>0</v>
      </c>
      <c r="E93" s="5">
        <v>0</v>
      </c>
      <c r="F93" s="5">
        <v>556.94515908000005</v>
      </c>
      <c r="G93" s="5">
        <v>8354177.3861999996</v>
      </c>
    </row>
    <row r="94" spans="1:7" x14ac:dyDescent="0.15">
      <c r="A94" s="3">
        <v>48073</v>
      </c>
      <c r="B94" s="5">
        <v>35863.607752670003</v>
      </c>
      <c r="C94" s="5">
        <v>55357587.098353297</v>
      </c>
      <c r="D94" s="5">
        <v>0</v>
      </c>
      <c r="E94" s="5">
        <v>0</v>
      </c>
      <c r="F94" s="5">
        <v>8878.4279743999996</v>
      </c>
      <c r="G94" s="5">
        <v>14675802.204048</v>
      </c>
    </row>
    <row r="95" spans="1:7" x14ac:dyDescent="0.15">
      <c r="A95" s="3">
        <v>48074</v>
      </c>
      <c r="B95" s="5">
        <v>5461.8221069700003</v>
      </c>
      <c r="C95" s="5">
        <v>10459434.332606001</v>
      </c>
      <c r="D95" s="5">
        <v>338.52845804999998</v>
      </c>
      <c r="E95" s="5">
        <v>2708227.6644000001</v>
      </c>
      <c r="F95" s="5">
        <v>2734.28633679</v>
      </c>
      <c r="G95" s="5">
        <v>3131774.64231</v>
      </c>
    </row>
    <row r="96" spans="1:7" x14ac:dyDescent="0.15">
      <c r="A96" s="3">
        <v>48075</v>
      </c>
      <c r="B96" s="5">
        <v>3094.37576218</v>
      </c>
      <c r="C96" s="5">
        <v>4201040.2689439999</v>
      </c>
      <c r="D96" s="5">
        <v>0</v>
      </c>
      <c r="E96" s="5">
        <v>0</v>
      </c>
      <c r="F96" s="5">
        <v>0</v>
      </c>
      <c r="G96" s="5">
        <v>0</v>
      </c>
    </row>
    <row r="97" spans="1:7" x14ac:dyDescent="0.15">
      <c r="A97" s="3">
        <v>48076</v>
      </c>
      <c r="B97" s="5">
        <v>6935.5640829100003</v>
      </c>
      <c r="C97" s="5">
        <v>9607945.6890719999</v>
      </c>
      <c r="D97" s="5">
        <v>0</v>
      </c>
      <c r="E97" s="5">
        <v>0</v>
      </c>
      <c r="F97" s="5">
        <v>0</v>
      </c>
      <c r="G97" s="5">
        <v>0</v>
      </c>
    </row>
    <row r="98" spans="1:7" x14ac:dyDescent="0.15">
      <c r="A98" s="3">
        <v>48077</v>
      </c>
      <c r="B98" s="5">
        <v>641.95625451000001</v>
      </c>
      <c r="C98" s="5">
        <v>0</v>
      </c>
      <c r="D98" s="5">
        <v>0</v>
      </c>
      <c r="E98" s="5">
        <v>0</v>
      </c>
      <c r="F98" s="5">
        <v>641.95625451000001</v>
      </c>
      <c r="G98" s="5">
        <v>0</v>
      </c>
    </row>
    <row r="99" spans="1:7" x14ac:dyDescent="0.15">
      <c r="A99" s="3">
        <v>48078</v>
      </c>
      <c r="B99" s="5">
        <v>9604.0587623600004</v>
      </c>
      <c r="C99" s="5">
        <v>4612328.7962985504</v>
      </c>
      <c r="D99" s="5">
        <v>0</v>
      </c>
      <c r="E99" s="5">
        <v>0</v>
      </c>
      <c r="F99" s="5">
        <v>8549.7786774199994</v>
      </c>
      <c r="G99" s="5">
        <v>3913758.8702820502</v>
      </c>
    </row>
    <row r="100" spans="1:7" x14ac:dyDescent="0.15">
      <c r="A100" s="3">
        <v>48079</v>
      </c>
      <c r="B100" s="5">
        <v>33933.670893269998</v>
      </c>
      <c r="C100" s="5">
        <v>90148866.469779506</v>
      </c>
      <c r="D100" s="5">
        <v>0</v>
      </c>
      <c r="E100" s="5">
        <v>0</v>
      </c>
      <c r="F100" s="5">
        <v>15978.38916612</v>
      </c>
      <c r="G100" s="5">
        <v>53971452.728793003</v>
      </c>
    </row>
    <row r="101" spans="1:7" x14ac:dyDescent="0.15">
      <c r="A101" s="3">
        <v>48080</v>
      </c>
      <c r="B101" s="5">
        <v>62801.681661609997</v>
      </c>
      <c r="C101" s="5">
        <v>89292411.832283795</v>
      </c>
      <c r="D101" s="5">
        <v>210.99381339999999</v>
      </c>
      <c r="E101" s="5">
        <v>210993.81340000001</v>
      </c>
      <c r="F101" s="5">
        <v>0</v>
      </c>
      <c r="G101" s="5">
        <v>0</v>
      </c>
    </row>
    <row r="102" spans="1:7" x14ac:dyDescent="0.15">
      <c r="A102" s="3">
        <v>48090</v>
      </c>
      <c r="B102" s="5">
        <v>8068.3391399100001</v>
      </c>
      <c r="C102" s="5">
        <v>42830227.654311001</v>
      </c>
      <c r="D102" s="5">
        <v>0</v>
      </c>
      <c r="E102" s="5">
        <v>0</v>
      </c>
      <c r="F102" s="5">
        <v>2890.1322281399998</v>
      </c>
      <c r="G102" s="5">
        <v>995093.99853099999</v>
      </c>
    </row>
    <row r="103" spans="1:7" x14ac:dyDescent="0.15">
      <c r="A103" s="3">
        <v>48100</v>
      </c>
      <c r="B103" s="5">
        <v>59138.999927440003</v>
      </c>
      <c r="C103" s="5">
        <v>52753206.860716</v>
      </c>
      <c r="D103" s="5">
        <v>821.81905358999995</v>
      </c>
      <c r="E103" s="5">
        <v>1225648.791252</v>
      </c>
      <c r="F103" s="5">
        <v>46703.391590840001</v>
      </c>
      <c r="G103" s="5">
        <v>44940918.492680602</v>
      </c>
    </row>
    <row r="104" spans="1:7" x14ac:dyDescent="0.15">
      <c r="A104" s="3">
        <v>49010</v>
      </c>
      <c r="B104" s="5">
        <v>2196.9793305500002</v>
      </c>
      <c r="C104" s="5">
        <v>15276181.528383</v>
      </c>
      <c r="D104" s="5">
        <v>0</v>
      </c>
      <c r="E104" s="5">
        <v>0</v>
      </c>
      <c r="F104" s="5">
        <v>0</v>
      </c>
      <c r="G104" s="5">
        <v>0</v>
      </c>
    </row>
    <row r="105" spans="1:7" x14ac:dyDescent="0.15">
      <c r="A105" s="3">
        <v>49030</v>
      </c>
      <c r="B105" s="5">
        <v>99118.646386670007</v>
      </c>
      <c r="C105" s="5">
        <v>134006930.814657</v>
      </c>
      <c r="D105" s="5">
        <v>0</v>
      </c>
      <c r="E105" s="5">
        <v>0</v>
      </c>
      <c r="F105" s="5">
        <v>82480.120998390004</v>
      </c>
      <c r="G105" s="5">
        <v>100352428.774032</v>
      </c>
    </row>
    <row r="106" spans="1:7" x14ac:dyDescent="0.15">
      <c r="A106" s="3">
        <v>49040</v>
      </c>
      <c r="B106" s="5">
        <v>49067.914547189997</v>
      </c>
      <c r="C106" s="5">
        <v>87373019.4574572</v>
      </c>
      <c r="D106" s="5">
        <v>0</v>
      </c>
      <c r="E106" s="5">
        <v>0</v>
      </c>
      <c r="F106" s="5">
        <v>16433.780281719999</v>
      </c>
      <c r="G106" s="5">
        <v>29190136.336888</v>
      </c>
    </row>
    <row r="107" spans="1:7" x14ac:dyDescent="0.15">
      <c r="A107" s="3">
        <v>50000</v>
      </c>
      <c r="B107" s="5">
        <v>3111.6716721600001</v>
      </c>
      <c r="C107" s="5">
        <v>6170312.0535460003</v>
      </c>
      <c r="D107" s="5">
        <v>0</v>
      </c>
      <c r="E107" s="5">
        <v>0</v>
      </c>
      <c r="F107" s="5">
        <v>0</v>
      </c>
      <c r="G107" s="5">
        <v>0</v>
      </c>
    </row>
    <row r="108" spans="1:7" x14ac:dyDescent="0.15">
      <c r="A108" s="3">
        <v>51000</v>
      </c>
      <c r="B108" s="5">
        <v>2980.2782134399999</v>
      </c>
      <c r="C108" s="5">
        <v>5342170.6516840002</v>
      </c>
      <c r="D108" s="5">
        <v>0</v>
      </c>
      <c r="E108" s="5">
        <v>0</v>
      </c>
      <c r="F108" s="5">
        <v>0</v>
      </c>
      <c r="G108" s="5">
        <v>0</v>
      </c>
    </row>
    <row r="109" spans="1:7" x14ac:dyDescent="0.15">
      <c r="A109" s="3">
        <v>52010</v>
      </c>
      <c r="B109" s="5">
        <v>2267.1470119199998</v>
      </c>
      <c r="C109" s="5">
        <v>1901761.5087860001</v>
      </c>
      <c r="D109" s="5">
        <v>0</v>
      </c>
      <c r="E109" s="5">
        <v>0</v>
      </c>
      <c r="F109" s="5">
        <v>671.14176020000002</v>
      </c>
      <c r="G109" s="5">
        <v>361195.167349</v>
      </c>
    </row>
    <row r="110" spans="1:7" x14ac:dyDescent="0.15">
      <c r="A110" s="3">
        <v>52020</v>
      </c>
      <c r="B110" s="5">
        <v>8197.7706581300008</v>
      </c>
      <c r="C110" s="5">
        <v>23104443.080495998</v>
      </c>
      <c r="D110" s="5">
        <v>0</v>
      </c>
      <c r="E110" s="5">
        <v>0</v>
      </c>
      <c r="F110" s="5">
        <v>0</v>
      </c>
      <c r="G110" s="5">
        <v>0</v>
      </c>
    </row>
    <row r="111" spans="1:7" x14ac:dyDescent="0.15">
      <c r="A111" s="3">
        <v>53001</v>
      </c>
      <c r="B111" s="5">
        <v>2557.1104191700001</v>
      </c>
      <c r="C111" s="5">
        <v>8088104.8796405997</v>
      </c>
      <c r="D111" s="5">
        <v>0</v>
      </c>
      <c r="E111" s="5">
        <v>0</v>
      </c>
      <c r="F111" s="5">
        <v>0</v>
      </c>
      <c r="G111" s="5">
        <v>0</v>
      </c>
    </row>
    <row r="112" spans="1:7" x14ac:dyDescent="0.15">
      <c r="A112" s="3">
        <v>53002</v>
      </c>
      <c r="B112" s="5">
        <v>22513.091420879999</v>
      </c>
      <c r="C112" s="5">
        <v>28017289.0448054</v>
      </c>
      <c r="D112" s="5">
        <v>0</v>
      </c>
      <c r="E112" s="5">
        <v>0</v>
      </c>
      <c r="F112" s="5">
        <v>18934.196730740001</v>
      </c>
      <c r="G112" s="5">
        <v>24361354.493083399</v>
      </c>
    </row>
    <row r="113" spans="1:7" x14ac:dyDescent="0.15">
      <c r="A113" s="3">
        <v>55000</v>
      </c>
      <c r="B113" s="5">
        <v>21698.87240316</v>
      </c>
      <c r="C113" s="5">
        <v>34841559.853094503</v>
      </c>
      <c r="D113" s="5">
        <v>0</v>
      </c>
      <c r="E113" s="5">
        <v>0</v>
      </c>
      <c r="F113" s="5">
        <v>0</v>
      </c>
      <c r="G113" s="5">
        <v>0</v>
      </c>
    </row>
    <row r="114" spans="1:7" x14ac:dyDescent="0.15">
      <c r="A114" s="3">
        <v>56011</v>
      </c>
      <c r="B114" s="5">
        <v>136071.61733586999</v>
      </c>
      <c r="C114" s="5">
        <v>173463940.565413</v>
      </c>
      <c r="D114" s="5">
        <v>2613.4227925099999</v>
      </c>
      <c r="E114" s="5">
        <v>7133192.2779240003</v>
      </c>
      <c r="F114" s="5">
        <v>41991.771335910002</v>
      </c>
      <c r="G114" s="5">
        <v>46626835.6751251</v>
      </c>
    </row>
    <row r="115" spans="1:7" x14ac:dyDescent="0.15">
      <c r="A115" s="3">
        <v>56012</v>
      </c>
      <c r="B115" s="5">
        <v>45798.295612100002</v>
      </c>
      <c r="C115" s="5">
        <v>35210036.675375797</v>
      </c>
      <c r="D115" s="5">
        <v>285.98110142000002</v>
      </c>
      <c r="E115" s="5">
        <v>857943.30426</v>
      </c>
      <c r="F115" s="5">
        <v>33400.475509219999</v>
      </c>
      <c r="G115" s="5">
        <v>25336530.861297298</v>
      </c>
    </row>
    <row r="116" spans="1:7" x14ac:dyDescent="0.15">
      <c r="A116" s="3">
        <v>56020</v>
      </c>
      <c r="B116" s="5">
        <v>33467.996140410003</v>
      </c>
      <c r="C116" s="5">
        <v>17575353.274184201</v>
      </c>
      <c r="D116" s="5">
        <v>0</v>
      </c>
      <c r="E116" s="5">
        <v>0</v>
      </c>
      <c r="F116" s="5">
        <v>29161.457749360001</v>
      </c>
      <c r="G116" s="5">
        <v>16515428.2554262</v>
      </c>
    </row>
    <row r="117" spans="1:7" x14ac:dyDescent="0.15">
      <c r="A117" s="3">
        <v>58000</v>
      </c>
      <c r="B117" s="5">
        <v>1771.9384135800001</v>
      </c>
      <c r="C117" s="5">
        <v>4778483.2503444999</v>
      </c>
      <c r="D117" s="5">
        <v>0</v>
      </c>
      <c r="E117" s="5">
        <v>0</v>
      </c>
      <c r="F117" s="5">
        <v>0</v>
      </c>
      <c r="G117" s="5">
        <v>0</v>
      </c>
    </row>
    <row r="118" spans="1:7" x14ac:dyDescent="0.15">
      <c r="A118" s="3">
        <v>59000</v>
      </c>
      <c r="B118" s="5">
        <v>1642.11237149</v>
      </c>
      <c r="C118" s="5">
        <v>3813431.2012450001</v>
      </c>
      <c r="D118" s="5">
        <v>0</v>
      </c>
      <c r="E118" s="5">
        <v>0</v>
      </c>
      <c r="F118" s="5">
        <v>1642.11237149</v>
      </c>
      <c r="G118" s="5">
        <v>3813431.2012450001</v>
      </c>
    </row>
    <row r="119" spans="1:7" x14ac:dyDescent="0.15">
      <c r="A119" s="3">
        <v>60001</v>
      </c>
      <c r="B119" s="5">
        <v>1827.3240571199999</v>
      </c>
      <c r="C119" s="5">
        <v>5199751.0613900004</v>
      </c>
      <c r="D119" s="5">
        <v>0</v>
      </c>
      <c r="E119" s="5">
        <v>0</v>
      </c>
      <c r="F119" s="5">
        <v>0</v>
      </c>
      <c r="G119" s="5">
        <v>0</v>
      </c>
    </row>
    <row r="120" spans="1:7" x14ac:dyDescent="0.15">
      <c r="A120" s="3">
        <v>60002</v>
      </c>
      <c r="B120" s="5">
        <v>541.90871142000003</v>
      </c>
      <c r="C120" s="5">
        <v>162572.613426</v>
      </c>
      <c r="D120" s="5">
        <v>0</v>
      </c>
      <c r="E120" s="5">
        <v>0</v>
      </c>
      <c r="F120" s="5">
        <v>541.90871142000003</v>
      </c>
      <c r="G120" s="5">
        <v>162572.613426</v>
      </c>
    </row>
    <row r="121" spans="1:7" x14ac:dyDescent="0.15">
      <c r="A121" s="3">
        <v>61000</v>
      </c>
      <c r="B121" s="5">
        <v>16044.55879614</v>
      </c>
      <c r="C121" s="5">
        <v>34308279.259535998</v>
      </c>
      <c r="D121" s="5">
        <v>0</v>
      </c>
      <c r="E121" s="5">
        <v>0</v>
      </c>
      <c r="F121" s="5">
        <v>1841.35317955</v>
      </c>
      <c r="G121" s="5">
        <v>3559420.9313639998</v>
      </c>
    </row>
    <row r="122" spans="1:7" x14ac:dyDescent="0.15">
      <c r="A122" s="3">
        <v>62000</v>
      </c>
      <c r="B122" s="5">
        <v>19118.07568111</v>
      </c>
      <c r="C122" s="5">
        <v>81617758.293040901</v>
      </c>
      <c r="D122" s="5">
        <v>0</v>
      </c>
      <c r="E122" s="5">
        <v>0</v>
      </c>
      <c r="F122" s="5">
        <v>4166.6206936400004</v>
      </c>
      <c r="G122" s="5">
        <v>9789087.9101803992</v>
      </c>
    </row>
    <row r="123" spans="1:7" x14ac:dyDescent="0.15">
      <c r="A123" s="3">
        <v>63000</v>
      </c>
      <c r="B123" s="5">
        <v>2662.6631306999998</v>
      </c>
      <c r="C123" s="5">
        <v>5567721.2059610002</v>
      </c>
      <c r="D123" s="5">
        <v>0</v>
      </c>
      <c r="E123" s="5">
        <v>0</v>
      </c>
      <c r="F123" s="5">
        <v>1606.4157839500001</v>
      </c>
      <c r="G123" s="5">
        <v>1870855.4923360001</v>
      </c>
    </row>
    <row r="124" spans="1:7" x14ac:dyDescent="0.15">
      <c r="A124" s="3">
        <v>64000</v>
      </c>
      <c r="B124" s="5">
        <v>22114.526702219999</v>
      </c>
      <c r="C124" s="5">
        <v>98941056.919630796</v>
      </c>
      <c r="D124" s="5">
        <v>0</v>
      </c>
      <c r="E124" s="5">
        <v>0</v>
      </c>
      <c r="F124" s="5">
        <v>0</v>
      </c>
      <c r="G124" s="5">
        <v>0</v>
      </c>
    </row>
    <row r="125" spans="1:7" x14ac:dyDescent="0.15">
      <c r="A125" s="3">
        <v>65000</v>
      </c>
      <c r="B125" s="5">
        <v>1889.1614539100001</v>
      </c>
      <c r="C125" s="5">
        <v>4432758.4106900003</v>
      </c>
      <c r="D125" s="5">
        <v>0</v>
      </c>
      <c r="E125" s="5">
        <v>0</v>
      </c>
      <c r="F125" s="5">
        <v>0</v>
      </c>
      <c r="G125" s="5">
        <v>0</v>
      </c>
    </row>
    <row r="126" spans="1:7" x14ac:dyDescent="0.15">
      <c r="A126" s="3">
        <v>66001</v>
      </c>
      <c r="B126" s="5">
        <v>1985.0166048200001</v>
      </c>
      <c r="C126" s="5">
        <v>12180381.666553</v>
      </c>
      <c r="D126" s="5">
        <v>0</v>
      </c>
      <c r="E126" s="5">
        <v>0</v>
      </c>
      <c r="F126" s="5">
        <v>0</v>
      </c>
      <c r="G126" s="5">
        <v>0</v>
      </c>
    </row>
    <row r="127" spans="1:7" x14ac:dyDescent="0.15">
      <c r="A127" s="3">
        <v>66002</v>
      </c>
      <c r="B127" s="5">
        <v>4588.4915300800003</v>
      </c>
      <c r="C127" s="5">
        <v>16375478.661867199</v>
      </c>
      <c r="D127" s="5">
        <v>0</v>
      </c>
      <c r="E127" s="5">
        <v>0</v>
      </c>
      <c r="F127" s="5">
        <v>2350.51096912</v>
      </c>
      <c r="G127" s="5">
        <v>4090487.121177</v>
      </c>
    </row>
    <row r="128" spans="1:7" x14ac:dyDescent="0.15">
      <c r="A128" s="3">
        <v>68000</v>
      </c>
      <c r="B128" s="5">
        <v>22467.246107790001</v>
      </c>
      <c r="C128" s="5">
        <v>71686030.200993001</v>
      </c>
      <c r="D128" s="5">
        <v>0</v>
      </c>
      <c r="E128" s="5">
        <v>0</v>
      </c>
      <c r="F128" s="5">
        <v>9911.1384595300005</v>
      </c>
      <c r="G128" s="5">
        <v>32404453.85176</v>
      </c>
    </row>
    <row r="129" spans="1:7" x14ac:dyDescent="0.15">
      <c r="A129" s="3">
        <v>69000</v>
      </c>
      <c r="B129" s="5">
        <v>41887.05300321</v>
      </c>
      <c r="C129" s="5">
        <v>273075869.89360702</v>
      </c>
      <c r="D129" s="5">
        <v>0</v>
      </c>
      <c r="E129" s="5">
        <v>0</v>
      </c>
      <c r="F129" s="5">
        <v>11854.840809269999</v>
      </c>
      <c r="G129" s="5">
        <v>49066531.730797</v>
      </c>
    </row>
    <row r="130" spans="1:7" x14ac:dyDescent="0.15">
      <c r="A130" s="3">
        <v>70000</v>
      </c>
      <c r="B130" s="5">
        <v>6341.63461594</v>
      </c>
      <c r="C130" s="5">
        <v>28602194.061483599</v>
      </c>
      <c r="D130" s="5">
        <v>0</v>
      </c>
      <c r="E130" s="5">
        <v>0</v>
      </c>
      <c r="F130" s="5">
        <v>2513.5568041400002</v>
      </c>
      <c r="G130" s="5">
        <v>16545468.262290001</v>
      </c>
    </row>
    <row r="131" spans="1:7" x14ac:dyDescent="0.15">
      <c r="A131" s="3">
        <v>71000</v>
      </c>
      <c r="B131" s="5">
        <v>8133.9779381799999</v>
      </c>
      <c r="C131" s="5">
        <v>22857416.438042998</v>
      </c>
      <c r="D131" s="5">
        <v>0</v>
      </c>
      <c r="E131" s="5">
        <v>0</v>
      </c>
      <c r="F131" s="5">
        <v>2139.7497372799999</v>
      </c>
      <c r="G131" s="5">
        <v>4323834.2093660003</v>
      </c>
    </row>
    <row r="132" spans="1:7" x14ac:dyDescent="0.15">
      <c r="A132" s="3">
        <v>72000</v>
      </c>
      <c r="B132" s="5">
        <v>489.17244615999999</v>
      </c>
      <c r="C132" s="5">
        <v>1222931.1154</v>
      </c>
      <c r="D132" s="5">
        <v>0</v>
      </c>
      <c r="E132" s="5">
        <v>0</v>
      </c>
      <c r="F132" s="5">
        <v>0</v>
      </c>
      <c r="G132" s="5">
        <v>0</v>
      </c>
    </row>
    <row r="133" spans="1:7" x14ac:dyDescent="0.15">
      <c r="A133" s="3">
        <v>73010</v>
      </c>
      <c r="B133" s="5">
        <v>8829.0904792099991</v>
      </c>
      <c r="C133" s="5">
        <v>18724587.891137</v>
      </c>
      <c r="D133" s="5">
        <v>1169.1498921699999</v>
      </c>
      <c r="E133" s="5">
        <v>2572129.7627739999</v>
      </c>
      <c r="F133" s="5">
        <v>708.54444006000006</v>
      </c>
      <c r="G133" s="5">
        <v>531408.33004499995</v>
      </c>
    </row>
    <row r="134" spans="1:7" x14ac:dyDescent="0.15">
      <c r="A134" s="3">
        <v>73020</v>
      </c>
      <c r="B134" s="5">
        <v>338.64913991999998</v>
      </c>
      <c r="C134" s="5">
        <v>253986.85493999999</v>
      </c>
      <c r="D134" s="5">
        <v>0</v>
      </c>
      <c r="E134" s="5">
        <v>0</v>
      </c>
      <c r="F134" s="5">
        <v>0</v>
      </c>
      <c r="G134" s="5">
        <v>0</v>
      </c>
    </row>
    <row r="135" spans="1:7" x14ac:dyDescent="0.15">
      <c r="A135" s="3">
        <v>74000</v>
      </c>
      <c r="B135" s="5">
        <v>6599.4233172599997</v>
      </c>
      <c r="C135" s="5">
        <v>6444993.0194362104</v>
      </c>
      <c r="D135" s="5">
        <v>0</v>
      </c>
      <c r="E135" s="5">
        <v>0</v>
      </c>
      <c r="F135" s="5">
        <v>3703.22149188</v>
      </c>
      <c r="G135" s="5">
        <v>4788045.6147012096</v>
      </c>
    </row>
    <row r="136" spans="1:7" x14ac:dyDescent="0.15">
      <c r="A136" s="3">
        <v>75000</v>
      </c>
      <c r="B136" s="5">
        <v>1633.8171862900001</v>
      </c>
      <c r="C136" s="5">
        <v>2980628.9153999998</v>
      </c>
      <c r="D136" s="5">
        <v>0</v>
      </c>
      <c r="E136" s="5">
        <v>0</v>
      </c>
      <c r="F136" s="5">
        <v>0</v>
      </c>
      <c r="G136" s="5">
        <v>0</v>
      </c>
    </row>
    <row r="137" spans="1:7" x14ac:dyDescent="0.15">
      <c r="A137" s="3">
        <v>77010</v>
      </c>
      <c r="B137" s="5">
        <v>2167.4193423199999</v>
      </c>
      <c r="C137" s="5">
        <v>494221.65367000003</v>
      </c>
      <c r="D137" s="5">
        <v>0</v>
      </c>
      <c r="E137" s="5">
        <v>0</v>
      </c>
      <c r="F137" s="5">
        <v>2167.4193423199999</v>
      </c>
      <c r="G137" s="5">
        <v>494221.65367000003</v>
      </c>
    </row>
    <row r="138" spans="1:7" x14ac:dyDescent="0.15">
      <c r="A138" s="3">
        <v>77020</v>
      </c>
      <c r="B138" s="5">
        <v>4971.1497387199997</v>
      </c>
      <c r="C138" s="5">
        <v>10277625.155826</v>
      </c>
      <c r="D138" s="5">
        <v>0</v>
      </c>
      <c r="E138" s="5">
        <v>0</v>
      </c>
      <c r="F138" s="5">
        <v>0</v>
      </c>
      <c r="G138" s="5">
        <v>0</v>
      </c>
    </row>
    <row r="139" spans="1:7" x14ac:dyDescent="0.15">
      <c r="A139" s="3">
        <v>78000</v>
      </c>
      <c r="B139" s="5">
        <v>30985.129754279998</v>
      </c>
      <c r="C139" s="5">
        <v>42509523.216192</v>
      </c>
      <c r="D139" s="5">
        <v>0</v>
      </c>
      <c r="E139" s="5">
        <v>0</v>
      </c>
      <c r="F139" s="5">
        <v>0</v>
      </c>
      <c r="G139" s="5">
        <v>0</v>
      </c>
    </row>
    <row r="140" spans="1:7" x14ac:dyDescent="0.15">
      <c r="A140" s="3">
        <v>79000</v>
      </c>
      <c r="B140" s="5">
        <v>3205.6544594100001</v>
      </c>
      <c r="C140" s="5">
        <v>5139592.7175460001</v>
      </c>
      <c r="D140" s="5">
        <v>0</v>
      </c>
      <c r="E140" s="5">
        <v>0</v>
      </c>
      <c r="F140" s="5">
        <v>1095.28632494</v>
      </c>
      <c r="G140" s="5">
        <v>1039385.5296060001</v>
      </c>
    </row>
    <row r="141" spans="1:7" x14ac:dyDescent="0.15">
      <c r="A141" s="3">
        <v>80000</v>
      </c>
      <c r="B141" s="5">
        <v>21621.425808430002</v>
      </c>
      <c r="C141" s="5">
        <v>32431655.656716999</v>
      </c>
      <c r="D141" s="5">
        <v>0</v>
      </c>
      <c r="E141" s="5">
        <v>0</v>
      </c>
      <c r="F141" s="5">
        <v>1238.1317166700001</v>
      </c>
      <c r="G141" s="5">
        <v>1025488.191568</v>
      </c>
    </row>
    <row r="142" spans="1:7" x14ac:dyDescent="0.15">
      <c r="A142" s="3">
        <v>81011</v>
      </c>
      <c r="B142" s="5">
        <v>36535.623080799996</v>
      </c>
      <c r="C142" s="5">
        <v>50304936.860008404</v>
      </c>
      <c r="D142" s="5">
        <v>0</v>
      </c>
      <c r="E142" s="5">
        <v>0</v>
      </c>
      <c r="F142" s="5">
        <v>2677.0646285299999</v>
      </c>
      <c r="G142" s="5">
        <v>2134870.7772820001</v>
      </c>
    </row>
    <row r="143" spans="1:7" x14ac:dyDescent="0.15">
      <c r="A143" s="3">
        <v>81012</v>
      </c>
      <c r="B143" s="5">
        <v>28460.962309049999</v>
      </c>
      <c r="C143" s="5">
        <v>42722080.325076498</v>
      </c>
      <c r="D143" s="5">
        <v>0</v>
      </c>
      <c r="E143" s="5">
        <v>0</v>
      </c>
      <c r="F143" s="5">
        <v>0</v>
      </c>
      <c r="G143" s="5">
        <v>0</v>
      </c>
    </row>
    <row r="144" spans="1:7" x14ac:dyDescent="0.15">
      <c r="A144" s="3">
        <v>81020</v>
      </c>
      <c r="B144" s="5">
        <v>5419.00092245</v>
      </c>
      <c r="C144" s="5">
        <v>13363857.142244</v>
      </c>
      <c r="D144" s="5">
        <v>0</v>
      </c>
      <c r="E144" s="5">
        <v>0</v>
      </c>
      <c r="F144" s="5">
        <v>0</v>
      </c>
      <c r="G144" s="5">
        <v>0</v>
      </c>
    </row>
    <row r="145" spans="1:7" x14ac:dyDescent="0.15">
      <c r="A145" s="3">
        <v>82001</v>
      </c>
      <c r="B145" s="5">
        <v>1161.56866539</v>
      </c>
      <c r="C145" s="5">
        <v>4289276.2355850004</v>
      </c>
      <c r="D145" s="5">
        <v>0</v>
      </c>
      <c r="E145" s="5">
        <v>0</v>
      </c>
      <c r="F145" s="5">
        <v>207.31801809000001</v>
      </c>
      <c r="G145" s="5">
        <v>1140249.099495</v>
      </c>
    </row>
    <row r="146" spans="1:7" x14ac:dyDescent="0.15">
      <c r="A146" s="3">
        <v>82002</v>
      </c>
      <c r="B146" s="5">
        <v>14633.42949647</v>
      </c>
      <c r="C146" s="5">
        <v>18342902.449857499</v>
      </c>
      <c r="D146" s="5">
        <v>0</v>
      </c>
      <c r="E146" s="5">
        <v>0</v>
      </c>
      <c r="F146" s="5">
        <v>0</v>
      </c>
      <c r="G146" s="5">
        <v>0</v>
      </c>
    </row>
    <row r="147" spans="1:7" x14ac:dyDescent="0.15">
      <c r="A147" s="3">
        <v>82003</v>
      </c>
      <c r="B147" s="5">
        <v>4519.3697541299998</v>
      </c>
      <c r="C147" s="5">
        <v>5444499.7197510004</v>
      </c>
      <c r="D147" s="5">
        <v>0</v>
      </c>
      <c r="E147" s="5">
        <v>0</v>
      </c>
      <c r="F147" s="5">
        <v>734.81760386999997</v>
      </c>
      <c r="G147" s="5">
        <v>785957.77517299994</v>
      </c>
    </row>
    <row r="148" spans="1:7" x14ac:dyDescent="0.15">
      <c r="A148" s="3">
        <v>82009</v>
      </c>
      <c r="B148" s="5">
        <v>8276.87431139</v>
      </c>
      <c r="C148" s="5">
        <v>8622937.9350790996</v>
      </c>
      <c r="D148" s="5">
        <v>0</v>
      </c>
      <c r="E148" s="5">
        <v>0</v>
      </c>
      <c r="F148" s="5">
        <v>373.75235158999999</v>
      </c>
      <c r="G148" s="5">
        <v>33637.711643100003</v>
      </c>
    </row>
    <row r="149" spans="1:7" x14ac:dyDescent="0.15">
      <c r="A149" s="3">
        <v>84011</v>
      </c>
      <c r="B149" s="5">
        <v>6804.4371053200002</v>
      </c>
      <c r="C149" s="5">
        <v>30291357.189440001</v>
      </c>
      <c r="D149" s="5">
        <v>0</v>
      </c>
      <c r="E149" s="5">
        <v>0</v>
      </c>
      <c r="F149" s="5">
        <v>0</v>
      </c>
      <c r="G149" s="5">
        <v>0</v>
      </c>
    </row>
    <row r="150" spans="1:7" x14ac:dyDescent="0.15">
      <c r="A150" s="3">
        <v>84012</v>
      </c>
      <c r="B150" s="5">
        <v>14567.747492910001</v>
      </c>
      <c r="C150" s="5">
        <v>158885742.22770399</v>
      </c>
      <c r="D150" s="5">
        <v>0</v>
      </c>
      <c r="E150" s="5">
        <v>0</v>
      </c>
      <c r="F150" s="5">
        <v>0</v>
      </c>
      <c r="G150" s="5">
        <v>0</v>
      </c>
    </row>
    <row r="151" spans="1:7" x14ac:dyDescent="0.15">
      <c r="A151" s="3">
        <v>84013</v>
      </c>
      <c r="B151" s="5">
        <v>114935.35170938</v>
      </c>
      <c r="C151" s="5">
        <v>239456574.88037801</v>
      </c>
      <c r="D151" s="5">
        <v>0</v>
      </c>
      <c r="E151" s="5">
        <v>0</v>
      </c>
      <c r="F151" s="5">
        <v>0</v>
      </c>
      <c r="G151" s="5">
        <v>0</v>
      </c>
    </row>
    <row r="152" spans="1:7" x14ac:dyDescent="0.15">
      <c r="A152" s="3">
        <v>84014</v>
      </c>
      <c r="B152" s="5">
        <v>9132.1602599199996</v>
      </c>
      <c r="C152" s="5">
        <v>59841216.871065997</v>
      </c>
      <c r="D152" s="5">
        <v>0</v>
      </c>
      <c r="E152" s="5">
        <v>0</v>
      </c>
      <c r="F152" s="5">
        <v>0</v>
      </c>
      <c r="G152" s="5">
        <v>0</v>
      </c>
    </row>
    <row r="153" spans="1:7" x14ac:dyDescent="0.15">
      <c r="A153" s="3">
        <v>84015</v>
      </c>
      <c r="B153" s="5">
        <v>5590.79651767</v>
      </c>
      <c r="C153" s="5">
        <v>69704422.885711998</v>
      </c>
      <c r="D153" s="5">
        <v>0</v>
      </c>
      <c r="E153" s="5">
        <v>0</v>
      </c>
      <c r="F153" s="5">
        <v>0</v>
      </c>
      <c r="G153" s="5">
        <v>0</v>
      </c>
    </row>
    <row r="154" spans="1:7" x14ac:dyDescent="0.15">
      <c r="A154" s="3">
        <v>84016</v>
      </c>
      <c r="B154" s="5">
        <v>34600.492487639996</v>
      </c>
      <c r="C154" s="5">
        <v>208529552.974475</v>
      </c>
      <c r="D154" s="5">
        <v>0</v>
      </c>
      <c r="E154" s="5">
        <v>0</v>
      </c>
      <c r="F154" s="5">
        <v>0</v>
      </c>
      <c r="G154" s="5">
        <v>0</v>
      </c>
    </row>
    <row r="155" spans="1:7" x14ac:dyDescent="0.15">
      <c r="A155" s="3">
        <v>84017</v>
      </c>
      <c r="B155" s="5">
        <v>5411.0175493300003</v>
      </c>
      <c r="C155" s="5">
        <v>10380415.291644</v>
      </c>
      <c r="D155" s="5">
        <v>0</v>
      </c>
      <c r="E155" s="5">
        <v>0</v>
      </c>
      <c r="F155" s="5">
        <v>0</v>
      </c>
      <c r="G155" s="5">
        <v>0</v>
      </c>
    </row>
    <row r="156" spans="1:7" x14ac:dyDescent="0.15">
      <c r="A156" s="3">
        <v>84020</v>
      </c>
      <c r="B156" s="5">
        <v>789.02224862000003</v>
      </c>
      <c r="C156" s="5">
        <v>3271329.5174599998</v>
      </c>
      <c r="D156" s="5">
        <v>0</v>
      </c>
      <c r="E156" s="5">
        <v>0</v>
      </c>
      <c r="F156" s="5">
        <v>0</v>
      </c>
      <c r="G156" s="5">
        <v>0</v>
      </c>
    </row>
    <row r="157" spans="1:7" x14ac:dyDescent="0.15">
      <c r="A157" s="3">
        <v>85011</v>
      </c>
      <c r="B157" s="5">
        <v>7085.5280069299997</v>
      </c>
      <c r="C157" s="5">
        <v>9417080.5744598992</v>
      </c>
      <c r="D157" s="5">
        <v>0</v>
      </c>
      <c r="E157" s="5">
        <v>0</v>
      </c>
      <c r="F157" s="5">
        <v>0</v>
      </c>
      <c r="G157" s="5">
        <v>0</v>
      </c>
    </row>
    <row r="158" spans="1:7" x14ac:dyDescent="0.15">
      <c r="A158" s="3">
        <v>85012</v>
      </c>
      <c r="B158" s="5">
        <v>90502.514024140095</v>
      </c>
      <c r="C158" s="5">
        <v>187467945.314722</v>
      </c>
      <c r="D158" s="5">
        <v>0</v>
      </c>
      <c r="E158" s="5">
        <v>0</v>
      </c>
      <c r="F158" s="5">
        <v>0</v>
      </c>
      <c r="G158" s="5">
        <v>0</v>
      </c>
    </row>
    <row r="159" spans="1:7" x14ac:dyDescent="0.15">
      <c r="A159" s="3">
        <v>85013</v>
      </c>
      <c r="B159" s="5">
        <v>55841.54519384</v>
      </c>
      <c r="C159" s="5">
        <v>170365166.91077599</v>
      </c>
      <c r="D159" s="5">
        <v>0</v>
      </c>
      <c r="E159" s="5">
        <v>0</v>
      </c>
      <c r="F159" s="5">
        <v>0</v>
      </c>
      <c r="G159" s="5">
        <v>0</v>
      </c>
    </row>
    <row r="160" spans="1:7" x14ac:dyDescent="0.15">
      <c r="A160" s="3">
        <v>85014</v>
      </c>
      <c r="B160" s="5">
        <v>18656.564894899999</v>
      </c>
      <c r="C160" s="5">
        <v>56576793.383363299</v>
      </c>
      <c r="D160" s="5">
        <v>0</v>
      </c>
      <c r="E160" s="5">
        <v>0</v>
      </c>
      <c r="F160" s="5">
        <v>0</v>
      </c>
      <c r="G160" s="5">
        <v>0</v>
      </c>
    </row>
    <row r="161" spans="1:7" x14ac:dyDescent="0.15">
      <c r="A161" s="3">
        <v>85029</v>
      </c>
      <c r="B161" s="5">
        <v>25182.2631129</v>
      </c>
      <c r="C161" s="5">
        <v>37225186.976228997</v>
      </c>
      <c r="D161" s="5">
        <v>205.08159688999999</v>
      </c>
      <c r="E161" s="5">
        <v>246097.916268</v>
      </c>
      <c r="F161" s="5">
        <v>13002.837843429999</v>
      </c>
      <c r="G161" s="5">
        <v>13469568.022593999</v>
      </c>
    </row>
    <row r="162" spans="1:7" x14ac:dyDescent="0.15">
      <c r="A162" s="3">
        <v>86001</v>
      </c>
      <c r="B162" s="5">
        <v>79172.953720370002</v>
      </c>
      <c r="C162" s="5">
        <v>229351140.00918999</v>
      </c>
      <c r="D162" s="5">
        <v>0</v>
      </c>
      <c r="E162" s="5">
        <v>0</v>
      </c>
      <c r="F162" s="5">
        <v>0</v>
      </c>
      <c r="G162" s="5">
        <v>0</v>
      </c>
    </row>
    <row r="163" spans="1:7" x14ac:dyDescent="0.15">
      <c r="A163" s="3">
        <v>86002</v>
      </c>
      <c r="B163" s="5">
        <v>53348.101240440003</v>
      </c>
      <c r="C163" s="5">
        <v>96274055.314603999</v>
      </c>
      <c r="D163" s="5">
        <v>1959.0281924200001</v>
      </c>
      <c r="E163" s="5">
        <v>10678690.38463</v>
      </c>
      <c r="F163" s="5">
        <v>549.01082438000003</v>
      </c>
      <c r="G163" s="5">
        <v>823516.23656999995</v>
      </c>
    </row>
    <row r="164" spans="1:7" x14ac:dyDescent="0.15">
      <c r="A164" s="3">
        <v>86003</v>
      </c>
      <c r="B164" s="5">
        <v>5844.7625786799999</v>
      </c>
      <c r="C164" s="5">
        <v>10822518.684687</v>
      </c>
      <c r="D164" s="5">
        <v>0</v>
      </c>
      <c r="E164" s="5">
        <v>0</v>
      </c>
      <c r="F164" s="5">
        <v>0</v>
      </c>
      <c r="G164" s="5">
        <v>0</v>
      </c>
    </row>
    <row r="165" spans="1:7" x14ac:dyDescent="0.15">
      <c r="A165" s="3">
        <v>86004</v>
      </c>
      <c r="B165" s="5">
        <v>12479.669979140001</v>
      </c>
      <c r="C165" s="5">
        <v>25540291.933406401</v>
      </c>
      <c r="D165" s="5">
        <v>0</v>
      </c>
      <c r="E165" s="5">
        <v>0</v>
      </c>
      <c r="F165" s="5">
        <v>7004.8120083900003</v>
      </c>
      <c r="G165" s="5">
        <v>16072834.353983</v>
      </c>
    </row>
    <row r="166" spans="1:7" x14ac:dyDescent="0.15">
      <c r="A166" s="3">
        <v>86009</v>
      </c>
      <c r="B166" s="5">
        <v>781.45809382000004</v>
      </c>
      <c r="C166" s="5">
        <v>1297871.004092</v>
      </c>
      <c r="D166" s="5">
        <v>0</v>
      </c>
      <c r="E166" s="5">
        <v>0</v>
      </c>
      <c r="F166" s="5">
        <v>597.02491157999998</v>
      </c>
      <c r="G166" s="5">
        <v>597024.91157999996</v>
      </c>
    </row>
    <row r="167" spans="1:7" x14ac:dyDescent="0.15">
      <c r="A167" s="3">
        <v>87000</v>
      </c>
      <c r="B167" s="5">
        <v>3175.2222974299998</v>
      </c>
      <c r="C167" s="5">
        <v>5698322.7949719997</v>
      </c>
      <c r="D167" s="5">
        <v>0</v>
      </c>
      <c r="E167" s="5">
        <v>0</v>
      </c>
      <c r="F167" s="5">
        <v>0</v>
      </c>
      <c r="G167" s="5">
        <v>0</v>
      </c>
    </row>
    <row r="168" spans="1:7" x14ac:dyDescent="0.15">
      <c r="A168" s="3">
        <v>88000</v>
      </c>
      <c r="B168" s="5">
        <v>363.78356148</v>
      </c>
      <c r="C168" s="5">
        <v>545675.34221999999</v>
      </c>
      <c r="D168" s="5">
        <v>0</v>
      </c>
      <c r="E168" s="5">
        <v>0</v>
      </c>
      <c r="F168" s="5">
        <v>0</v>
      </c>
      <c r="G168" s="5">
        <v>0</v>
      </c>
    </row>
    <row r="169" spans="1:7" x14ac:dyDescent="0.15">
      <c r="A169" s="3">
        <v>90000</v>
      </c>
      <c r="B169" s="5">
        <v>4377.0544813799997</v>
      </c>
      <c r="C169" s="5">
        <v>3691897.424011</v>
      </c>
      <c r="D169" s="5">
        <v>1064.01375029</v>
      </c>
      <c r="E169" s="5">
        <v>425605.50011600001</v>
      </c>
      <c r="F169" s="5">
        <v>3033.1114664000002</v>
      </c>
      <c r="G169" s="5">
        <v>2874390.9533290002</v>
      </c>
    </row>
    <row r="170" spans="1:7" x14ac:dyDescent="0.15">
      <c r="A170" s="3">
        <v>91000</v>
      </c>
      <c r="B170" s="5">
        <v>1885.87245723</v>
      </c>
      <c r="C170" s="5">
        <v>2678376.33182</v>
      </c>
      <c r="D170" s="5">
        <v>0</v>
      </c>
      <c r="E170" s="5">
        <v>0</v>
      </c>
      <c r="F170" s="5">
        <v>0</v>
      </c>
      <c r="G170" s="5">
        <v>0</v>
      </c>
    </row>
    <row r="171" spans="1:7" x14ac:dyDescent="0.15">
      <c r="A171" s="3">
        <v>92000</v>
      </c>
      <c r="B171" s="5">
        <v>22017.256597520001</v>
      </c>
      <c r="C171" s="5">
        <v>12797336.020852501</v>
      </c>
      <c r="D171" s="5">
        <v>0</v>
      </c>
      <c r="E171" s="5">
        <v>0</v>
      </c>
      <c r="F171" s="5">
        <v>7855.0929702800004</v>
      </c>
      <c r="G171" s="5">
        <v>4119063.3163390402</v>
      </c>
    </row>
    <row r="172" spans="1:7" x14ac:dyDescent="0.15">
      <c r="A172" s="3">
        <v>93011</v>
      </c>
      <c r="B172" s="5">
        <v>729.83199653999998</v>
      </c>
      <c r="C172" s="5">
        <v>291932.79861599999</v>
      </c>
      <c r="D172" s="5">
        <v>0</v>
      </c>
      <c r="E172" s="5">
        <v>0</v>
      </c>
      <c r="F172" s="5">
        <v>729.83199653999998</v>
      </c>
      <c r="G172" s="5">
        <v>291932.79861599999</v>
      </c>
    </row>
    <row r="173" spans="1:7" x14ac:dyDescent="0.15">
      <c r="A173" s="3">
        <v>93012</v>
      </c>
      <c r="B173" s="5">
        <v>10707.57739249</v>
      </c>
      <c r="C173" s="5">
        <v>24856418.275030501</v>
      </c>
      <c r="D173" s="5">
        <v>0</v>
      </c>
      <c r="E173" s="5">
        <v>0</v>
      </c>
      <c r="F173" s="5">
        <v>787.44925922000004</v>
      </c>
      <c r="G173" s="5">
        <v>3543521.6664900002</v>
      </c>
    </row>
    <row r="174" spans="1:7" x14ac:dyDescent="0.15">
      <c r="A174" s="3">
        <v>93020</v>
      </c>
      <c r="B174" s="5">
        <v>1974.18455556</v>
      </c>
      <c r="C174" s="5">
        <v>2285179.3999330001</v>
      </c>
      <c r="D174" s="5">
        <v>0</v>
      </c>
      <c r="E174" s="5">
        <v>0</v>
      </c>
      <c r="F174" s="5">
        <v>0</v>
      </c>
      <c r="G174" s="5">
        <v>0</v>
      </c>
    </row>
    <row r="175" spans="1:7" x14ac:dyDescent="0.15">
      <c r="A175" s="3">
        <v>94020</v>
      </c>
      <c r="B175" s="5">
        <v>1781.93249483</v>
      </c>
      <c r="C175" s="5">
        <v>4338424.5859401599</v>
      </c>
      <c r="D175" s="5">
        <v>0</v>
      </c>
      <c r="E175" s="5">
        <v>0</v>
      </c>
      <c r="F175" s="5">
        <v>0</v>
      </c>
      <c r="G175" s="5">
        <v>0</v>
      </c>
    </row>
    <row r="176" spans="1:7" x14ac:dyDescent="0.15">
      <c r="A176" s="3">
        <v>94091</v>
      </c>
      <c r="B176" s="5">
        <v>5059.4653875499998</v>
      </c>
      <c r="C176" s="5">
        <v>7482283.2605831996</v>
      </c>
      <c r="D176" s="5">
        <v>0</v>
      </c>
      <c r="E176" s="5">
        <v>0</v>
      </c>
      <c r="F176" s="5">
        <v>910.04893918000005</v>
      </c>
      <c r="G176" s="5">
        <v>840783.08751500002</v>
      </c>
    </row>
    <row r="177" spans="1:7" x14ac:dyDescent="0.15">
      <c r="A177" s="3">
        <v>94099</v>
      </c>
      <c r="B177" s="5">
        <v>2324.1445779599999</v>
      </c>
      <c r="C177" s="5">
        <v>4663784.7045157999</v>
      </c>
      <c r="D177" s="5">
        <v>0</v>
      </c>
      <c r="E177" s="5">
        <v>0</v>
      </c>
      <c r="F177" s="5">
        <v>0</v>
      </c>
      <c r="G177" s="5">
        <v>0</v>
      </c>
    </row>
    <row r="178" spans="1:7" x14ac:dyDescent="0.15">
      <c r="A178" s="3">
        <v>95010</v>
      </c>
      <c r="B178" s="5">
        <v>4973.1317659099996</v>
      </c>
      <c r="C178" s="5">
        <v>7439551.2858805005</v>
      </c>
      <c r="D178" s="5">
        <v>0</v>
      </c>
      <c r="E178" s="5">
        <v>0</v>
      </c>
      <c r="F178" s="5">
        <v>3842.5200673499999</v>
      </c>
      <c r="G178" s="5">
        <v>6668389.31984</v>
      </c>
    </row>
    <row r="179" spans="1:7" x14ac:dyDescent="0.15">
      <c r="A179" s="3">
        <v>95030</v>
      </c>
      <c r="B179" s="5">
        <v>26325.54877813</v>
      </c>
      <c r="C179" s="5">
        <v>45207290.121427</v>
      </c>
      <c r="D179" s="5">
        <v>0</v>
      </c>
      <c r="E179" s="5">
        <v>0</v>
      </c>
      <c r="F179" s="5">
        <v>21674.218270699999</v>
      </c>
      <c r="G179" s="5">
        <v>39441544.458327003</v>
      </c>
    </row>
    <row r="180" spans="1:7" x14ac:dyDescent="0.15">
      <c r="A180" s="3">
        <v>96010</v>
      </c>
      <c r="B180" s="5">
        <v>7130.3263745300001</v>
      </c>
      <c r="C180" s="5">
        <v>6771880.4536124999</v>
      </c>
      <c r="D180" s="5">
        <v>0</v>
      </c>
      <c r="E180" s="5">
        <v>0</v>
      </c>
      <c r="F180" s="5">
        <v>2988.2278164899999</v>
      </c>
      <c r="G180" s="5">
        <v>1958844.6885565</v>
      </c>
    </row>
    <row r="181" spans="1:7" x14ac:dyDescent="0.15">
      <c r="A181" s="3">
        <v>96020</v>
      </c>
      <c r="B181" s="5">
        <v>93770.820548379997</v>
      </c>
      <c r="C181" s="5">
        <v>105485915.72806001</v>
      </c>
      <c r="D181" s="5">
        <v>785.37761892000003</v>
      </c>
      <c r="E181" s="5">
        <v>1727830.761624</v>
      </c>
      <c r="F181" s="5">
        <v>80547.985295460006</v>
      </c>
      <c r="G181" s="5">
        <v>72675571.4638796</v>
      </c>
    </row>
    <row r="182" spans="1:7" x14ac:dyDescent="0.15">
      <c r="A182" s="3">
        <v>96030</v>
      </c>
      <c r="B182" s="5">
        <v>4207.1984240100001</v>
      </c>
      <c r="C182" s="5">
        <v>5405318.4913309999</v>
      </c>
      <c r="D182" s="5">
        <v>0</v>
      </c>
      <c r="E182" s="5">
        <v>0</v>
      </c>
      <c r="F182" s="5">
        <v>0</v>
      </c>
      <c r="G182" s="5">
        <v>0</v>
      </c>
    </row>
    <row r="183" spans="1:7" x14ac:dyDescent="0.15">
      <c r="A183" s="3">
        <v>96090</v>
      </c>
      <c r="B183" s="5">
        <v>11022.37504085</v>
      </c>
      <c r="C183" s="5">
        <v>16909433.737687599</v>
      </c>
      <c r="D183" s="5">
        <v>1273.8019839399999</v>
      </c>
      <c r="E183" s="5">
        <v>4896839.6543800002</v>
      </c>
      <c r="F183" s="5">
        <v>6210.7735595200002</v>
      </c>
      <c r="G183" s="5">
        <v>6302499.2568466002</v>
      </c>
    </row>
    <row r="184" spans="1:7" x14ac:dyDescent="0.15">
      <c r="A184" s="3">
        <v>97000</v>
      </c>
      <c r="B184" s="5">
        <v>187606.15330075001</v>
      </c>
      <c r="C184" s="5">
        <v>128677485.44811501</v>
      </c>
      <c r="D184" s="5">
        <v>0</v>
      </c>
      <c r="E184" s="5">
        <v>0</v>
      </c>
      <c r="F184" s="5">
        <v>0</v>
      </c>
      <c r="G184" s="5">
        <v>0</v>
      </c>
    </row>
    <row r="185" spans="1:7" x14ac:dyDescent="0.15">
      <c r="A185" s="10" t="s">
        <v>25</v>
      </c>
      <c r="B185" s="12">
        <f>SUM(B2:B184)</f>
        <v>3401768.3741694102</v>
      </c>
      <c r="C185" s="12">
        <f>SUM(C2:C184)</f>
        <v>5695969641.5470982</v>
      </c>
      <c r="D185" s="12">
        <f t="shared" ref="D185:F185" si="0">SUM(D2:D184)</f>
        <v>25004.397087729994</v>
      </c>
      <c r="E185" s="12">
        <f t="shared" si="0"/>
        <v>5190881986.7729778</v>
      </c>
      <c r="F185" s="12">
        <f t="shared" si="0"/>
        <v>1126348.6137854296</v>
      </c>
      <c r="G185" s="12">
        <f>SUM(G2:G184)</f>
        <v>1268830004.5715594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zoomScale="75" zoomScaleNormal="75" workbookViewId="0">
      <selection activeCell="C4" sqref="A1:G184"/>
    </sheetView>
  </sheetViews>
  <sheetFormatPr baseColWidth="10" defaultColWidth="11.5" defaultRowHeight="13" x14ac:dyDescent="0.15"/>
  <cols>
    <col min="1" max="1" width="32.1640625" customWidth="1"/>
    <col min="2" max="2" width="73" customWidth="1"/>
  </cols>
  <sheetData>
    <row r="1" spans="1:2" ht="14" x14ac:dyDescent="0.15">
      <c r="A1" s="6" t="s">
        <v>7</v>
      </c>
      <c r="B1" s="6" t="s">
        <v>8</v>
      </c>
    </row>
    <row r="2" spans="1:2" ht="42" x14ac:dyDescent="0.15">
      <c r="A2" s="7" t="s">
        <v>0</v>
      </c>
      <c r="B2" s="7" t="s">
        <v>9</v>
      </c>
    </row>
    <row r="3" spans="1:2" ht="28" x14ac:dyDescent="0.15">
      <c r="A3" s="7" t="s">
        <v>1</v>
      </c>
      <c r="B3" s="7" t="s">
        <v>10</v>
      </c>
    </row>
    <row r="4" spans="1:2" ht="28" x14ac:dyDescent="0.15">
      <c r="A4" s="7" t="s">
        <v>2</v>
      </c>
      <c r="B4" s="7" t="s">
        <v>11</v>
      </c>
    </row>
    <row r="5" spans="1:2" ht="28" x14ac:dyDescent="0.15">
      <c r="A5" s="7" t="s">
        <v>3</v>
      </c>
      <c r="B5" s="7" t="s">
        <v>12</v>
      </c>
    </row>
    <row r="6" spans="1:2" ht="28" x14ac:dyDescent="0.15">
      <c r="A6" s="7" t="s">
        <v>5</v>
      </c>
      <c r="B6" s="7" t="s">
        <v>13</v>
      </c>
    </row>
    <row r="7" spans="1:2" ht="28" x14ac:dyDescent="0.15">
      <c r="A7" s="7" t="s">
        <v>4</v>
      </c>
      <c r="B7" s="7" t="s">
        <v>14</v>
      </c>
    </row>
    <row r="8" spans="1:2" ht="14" x14ac:dyDescent="0.15">
      <c r="A8" s="7" t="s">
        <v>6</v>
      </c>
      <c r="B8" s="7" t="s">
        <v>15</v>
      </c>
    </row>
    <row r="10" spans="1:2" x14ac:dyDescent="0.15">
      <c r="A10" s="24" t="s">
        <v>16</v>
      </c>
      <c r="B10" s="24"/>
    </row>
    <row r="11" spans="1:2" ht="14" x14ac:dyDescent="0.15">
      <c r="A11" s="8" t="s">
        <v>7</v>
      </c>
      <c r="B11" s="8" t="s">
        <v>8</v>
      </c>
    </row>
    <row r="12" spans="1:2" ht="42" x14ac:dyDescent="0.15">
      <c r="A12" s="8" t="s">
        <v>17</v>
      </c>
      <c r="B12" s="9" t="s">
        <v>18</v>
      </c>
    </row>
    <row r="13" spans="1:2" ht="12.75" customHeight="1" x14ac:dyDescent="0.15">
      <c r="A13" s="25" t="s">
        <v>19</v>
      </c>
      <c r="B13" s="25"/>
    </row>
    <row r="14" spans="1:2" ht="12.75" customHeight="1" x14ac:dyDescent="0.15">
      <c r="A14" s="22" t="s">
        <v>20</v>
      </c>
      <c r="B14" s="22"/>
    </row>
    <row r="15" spans="1:2" ht="12.75" customHeight="1" x14ac:dyDescent="0.15">
      <c r="A15" s="22" t="s">
        <v>21</v>
      </c>
      <c r="B15" s="22"/>
    </row>
    <row r="16" spans="1:2" ht="12.75" customHeight="1" x14ac:dyDescent="0.15">
      <c r="A16" s="22" t="s">
        <v>22</v>
      </c>
      <c r="B16" s="22"/>
    </row>
    <row r="17" spans="1:2" ht="12.75" customHeight="1" x14ac:dyDescent="0.15">
      <c r="A17" s="22" t="s">
        <v>23</v>
      </c>
      <c r="B17" s="22"/>
    </row>
    <row r="18" spans="1:2" ht="12.75" customHeight="1" x14ac:dyDescent="0.15">
      <c r="A18" s="23" t="s">
        <v>24</v>
      </c>
      <c r="B18" s="23"/>
    </row>
  </sheetData>
  <mergeCells count="7">
    <mergeCell ref="A17:B17"/>
    <mergeCell ref="A18:B18"/>
    <mergeCell ref="A10:B10"/>
    <mergeCell ref="A13:B13"/>
    <mergeCell ref="A14:B14"/>
    <mergeCell ref="A15:B15"/>
    <mergeCell ref="A16:B16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0015-55BA-A343-ABF1-F588887ECF73}">
  <dimension ref="A1:K12"/>
  <sheetViews>
    <sheetView tabSelected="1" workbookViewId="0">
      <selection activeCell="I1" sqref="I1:K1"/>
    </sheetView>
  </sheetViews>
  <sheetFormatPr baseColWidth="10" defaultRowHeight="13" x14ac:dyDescent="0.15"/>
  <cols>
    <col min="2" max="2" width="11.83203125" bestFit="1" customWidth="1"/>
    <col min="3" max="3" width="16.5" customWidth="1"/>
    <col min="4" max="5" width="21.1640625" customWidth="1"/>
    <col min="6" max="6" width="17.83203125" customWidth="1"/>
    <col min="7" max="8" width="25.33203125" customWidth="1"/>
    <col min="9" max="9" width="20" customWidth="1"/>
    <col min="10" max="10" width="23.6640625" bestFit="1" customWidth="1"/>
    <col min="11" max="11" width="11.83203125" bestFit="1" customWidth="1"/>
  </cols>
  <sheetData>
    <row r="1" spans="1:11" s="18" customFormat="1" ht="42" x14ac:dyDescent="0.15">
      <c r="A1" s="19" t="s">
        <v>33</v>
      </c>
      <c r="B1" s="17" t="s">
        <v>26</v>
      </c>
      <c r="C1" s="17" t="s">
        <v>1</v>
      </c>
      <c r="D1" s="17" t="s">
        <v>2</v>
      </c>
      <c r="E1" s="17" t="s">
        <v>30</v>
      </c>
      <c r="F1" s="17" t="s">
        <v>3</v>
      </c>
      <c r="G1" s="17" t="s">
        <v>4</v>
      </c>
      <c r="H1" s="17" t="s">
        <v>31</v>
      </c>
      <c r="I1" s="17" t="s">
        <v>5</v>
      </c>
      <c r="J1" s="17" t="s">
        <v>6</v>
      </c>
      <c r="K1" s="17" t="s">
        <v>32</v>
      </c>
    </row>
    <row r="2" spans="1:11" x14ac:dyDescent="0.15">
      <c r="A2" s="3">
        <v>2021</v>
      </c>
      <c r="B2" s="3">
        <v>1</v>
      </c>
      <c r="C2" s="14">
        <f>'2021_1T'!B171</f>
        <v>3175076.3968629595</v>
      </c>
      <c r="D2" s="15">
        <f>'2021_1T'!C171</f>
        <v>5631273544.4924355</v>
      </c>
      <c r="E2" s="16">
        <f>D2/C2</f>
        <v>1773.5867867797604</v>
      </c>
      <c r="F2" s="14">
        <f>'2021_1T'!D171</f>
        <v>41626.966611599993</v>
      </c>
      <c r="G2" s="15">
        <f>'2021_1T'!E171</f>
        <v>142607136.90933445</v>
      </c>
      <c r="H2" s="15">
        <f>G2/F2</f>
        <v>3425.8354263458336</v>
      </c>
      <c r="I2" s="14">
        <f>'2021_1T'!F171</f>
        <v>1041033.2664934003</v>
      </c>
      <c r="J2" s="15">
        <f>'2021_1T'!G171</f>
        <v>1118628742.9809639</v>
      </c>
      <c r="K2" s="15">
        <f>J2/I2</f>
        <v>1074.5369806950887</v>
      </c>
    </row>
    <row r="3" spans="1:11" x14ac:dyDescent="0.15">
      <c r="A3" s="3">
        <v>2021</v>
      </c>
      <c r="B3" s="3">
        <v>2</v>
      </c>
      <c r="C3" s="14">
        <f>'2021_2T'!B165</f>
        <v>3173887.8244981305</v>
      </c>
      <c r="D3" s="15">
        <f>'2021_2T'!C165</f>
        <v>5578194280.2969704</v>
      </c>
      <c r="E3" s="16">
        <f t="shared" ref="E3:E5" si="0">D3/C3</f>
        <v>1757.5272311897222</v>
      </c>
      <c r="F3" s="14">
        <f>'2021_2T'!D165</f>
        <v>28897.989620890003</v>
      </c>
      <c r="G3" s="15">
        <f>'2021_2T'!E165</f>
        <v>80856614.238627002</v>
      </c>
      <c r="H3" s="15">
        <f t="shared" ref="H3:H4" si="1">G3/F3</f>
        <v>2798.0013592425385</v>
      </c>
      <c r="I3" s="14">
        <f>'2021_2T'!F165</f>
        <v>1063571.5051977602</v>
      </c>
      <c r="J3" s="15">
        <f>'2021_2T'!G165</f>
        <v>2616023756.7774706</v>
      </c>
      <c r="K3" s="15">
        <f t="shared" ref="K3:K5" si="2">J3/I3</f>
        <v>2459.6595000832103</v>
      </c>
    </row>
    <row r="4" spans="1:11" x14ac:dyDescent="0.15">
      <c r="A4" s="3">
        <v>2021</v>
      </c>
      <c r="B4" s="3">
        <v>3</v>
      </c>
      <c r="C4" s="14">
        <f>'2021_3T'!B179</f>
        <v>3286021.8466850002</v>
      </c>
      <c r="D4" s="15">
        <f>'2021_3T'!C179</f>
        <v>5451251965.8304863</v>
      </c>
      <c r="E4" s="16">
        <f t="shared" si="0"/>
        <v>1658.9214010642718</v>
      </c>
      <c r="F4" s="14">
        <f>'2021_3T'!D179</f>
        <v>31366.624674600003</v>
      </c>
      <c r="G4" s="15">
        <f>'2021_3T'!E179</f>
        <v>583863376.168859</v>
      </c>
      <c r="H4" s="15">
        <f t="shared" si="1"/>
        <v>18614.160185417037</v>
      </c>
      <c r="I4" s="14">
        <f>'2021_3T'!F179</f>
        <v>1096332.8083393497</v>
      </c>
      <c r="J4" s="15">
        <f>'2021_3T'!G179</f>
        <v>1251645191.3427403</v>
      </c>
      <c r="K4" s="15">
        <f t="shared" si="2"/>
        <v>1141.6653609396651</v>
      </c>
    </row>
    <row r="5" spans="1:11" x14ac:dyDescent="0.15">
      <c r="A5" s="20">
        <v>2021</v>
      </c>
      <c r="B5" s="20">
        <v>4</v>
      </c>
      <c r="C5" s="14">
        <f>'2021_4T'!B185</f>
        <v>3401768.3741694102</v>
      </c>
      <c r="D5" s="15">
        <f>'2021_4T'!C185</f>
        <v>5695969641.5470982</v>
      </c>
      <c r="E5" s="16">
        <f t="shared" si="0"/>
        <v>1674.4143089806489</v>
      </c>
      <c r="F5" s="14">
        <f>'2021_4T'!D185</f>
        <v>25004.397087729994</v>
      </c>
      <c r="G5" s="15">
        <f>'2021_4T'!E185</f>
        <v>5190881986.7729778</v>
      </c>
      <c r="H5" s="15">
        <f>G5/F5</f>
        <v>207598.76627140175</v>
      </c>
      <c r="I5" s="14">
        <f>'2021_4T'!F185</f>
        <v>1126348.6137854296</v>
      </c>
      <c r="J5" s="15">
        <f>'2021_4T'!G185</f>
        <v>1268830004.5715594</v>
      </c>
      <c r="K5" s="15">
        <f t="shared" si="2"/>
        <v>1126.4984828340835</v>
      </c>
    </row>
    <row r="6" spans="1:11" s="10" customFormat="1" x14ac:dyDescent="0.15">
      <c r="A6" s="21"/>
      <c r="B6" s="21"/>
      <c r="C6" s="26" t="s">
        <v>27</v>
      </c>
      <c r="D6" s="26"/>
      <c r="E6" s="26"/>
      <c r="F6" s="28" t="s">
        <v>28</v>
      </c>
      <c r="G6" s="28"/>
      <c r="H6" s="28"/>
      <c r="I6" s="27" t="s">
        <v>29</v>
      </c>
      <c r="J6" s="27"/>
      <c r="K6" s="27"/>
    </row>
    <row r="9" spans="1:11" x14ac:dyDescent="0.15">
      <c r="B9" s="13"/>
    </row>
    <row r="10" spans="1:11" x14ac:dyDescent="0.15">
      <c r="B10" s="13"/>
    </row>
    <row r="11" spans="1:11" x14ac:dyDescent="0.15">
      <c r="B11" s="13"/>
    </row>
    <row r="12" spans="1:11" x14ac:dyDescent="0.15">
      <c r="B12" s="13"/>
    </row>
  </sheetData>
  <mergeCells count="3">
    <mergeCell ref="C6:E6"/>
    <mergeCell ref="I6:K6"/>
    <mergeCell ref="F6:H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2021_1T</vt:lpstr>
      <vt:lpstr>2021_2T</vt:lpstr>
      <vt:lpstr>2021_3T</vt:lpstr>
      <vt:lpstr>2021_4T</vt:lpstr>
      <vt:lpstr>Dicionário</vt:lpstr>
      <vt:lpstr>Estatísticas - Agregadas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Lutemberg  Santana</cp:lastModifiedBy>
  <cp:revision>3</cp:revision>
  <dcterms:modified xsi:type="dcterms:W3CDTF">2025-11-12T19:43:52Z</dcterms:modified>
  <dc:language>pt-BR</dc:language>
</cp:coreProperties>
</file>